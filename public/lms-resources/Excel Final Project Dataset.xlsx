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4"/>
  </bookViews>
  <sheets>
    <sheet name="TOTAL DONATION PER YEAR" sheetId="8" r:id="rId1"/>
    <sheet name="CGPA AND EMPLOYMENT CHART" sheetId="10" r:id="rId2"/>
    <sheet name="VISUALS" sheetId="12" r:id="rId3"/>
    <sheet name="UNEMPLOYED AND EMPLOYED" sheetId="13" r:id="rId4"/>
    <sheet name="FINAL PROECT" sheetId="1" r:id="rId5"/>
    <sheet name="ANALYSIS" sheetId="2" r:id="rId6"/>
    <sheet name="2024 GRADUATING STUDENTS" sheetId="3" r:id="rId7"/>
  </sheets>
  <definedNames>
    <definedName name="_xlnm._FilterDatabase" localSheetId="4" hidden="1">'FINAL PROECT'!$A$1:$M$51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<sst xmlns="http://schemas.openxmlformats.org/spreadsheetml/2006/main" count="368" uniqueCount="145">
  <si>
    <t>Graduation Year</t>
  </si>
  <si>
    <t>Total Donation (₦)</t>
  </si>
  <si>
    <t>Sum of Total Donation (₦)</t>
  </si>
  <si>
    <t>Grand Total</t>
  </si>
  <si>
    <t>Employment Status</t>
  </si>
  <si>
    <t xml:space="preserve"> AVERAGE CGPA</t>
  </si>
  <si>
    <t>Employed</t>
  </si>
  <si>
    <t>Unemployed</t>
  </si>
  <si>
    <t>Average of Monthly Salary</t>
  </si>
  <si>
    <t>Count of Full Name</t>
  </si>
  <si>
    <t>Full Name</t>
  </si>
  <si>
    <t>Gender</t>
  </si>
  <si>
    <t>CGPA</t>
  </si>
  <si>
    <t>Country</t>
  </si>
  <si>
    <t>Monthly Salary</t>
  </si>
  <si>
    <t>High Earner</t>
  </si>
  <si>
    <t>Donation (₦)</t>
  </si>
  <si>
    <t>Donors</t>
  </si>
  <si>
    <t>Date of Donation</t>
  </si>
  <si>
    <t>Notes</t>
  </si>
  <si>
    <t>Kimberly Sanchez</t>
  </si>
  <si>
    <t>Male</t>
  </si>
  <si>
    <t>Kenya</t>
  </si>
  <si>
    <t>Here writer policy news range successful simply.</t>
  </si>
  <si>
    <t>Peter Callahan Jr.</t>
  </si>
  <si>
    <t>Female</t>
  </si>
  <si>
    <t>Nigeria</t>
  </si>
  <si>
    <t>Others his other life edge network.</t>
  </si>
  <si>
    <t>Jeremy Thornton</t>
  </si>
  <si>
    <t>Egypt</t>
  </si>
  <si>
    <t>Act away third tough nation strong old.</t>
  </si>
  <si>
    <t>Valerie Gill</t>
  </si>
  <si>
    <t>Ghana</t>
  </si>
  <si>
    <t>That fear police participant.</t>
  </si>
  <si>
    <t>John Daniel</t>
  </si>
  <si>
    <t>Art rock song body.</t>
  </si>
  <si>
    <t>Michelle Ross</t>
  </si>
  <si>
    <t>South Africa</t>
  </si>
  <si>
    <t>Just military building different full open.</t>
  </si>
  <si>
    <t>Emily Obrien</t>
  </si>
  <si>
    <t>History office effort remember.</t>
  </si>
  <si>
    <t>James Brown</t>
  </si>
  <si>
    <t>Able hospital unit size expect recent.</t>
  </si>
  <si>
    <t>Erik Williams</t>
  </si>
  <si>
    <t>Try most arm meet surface attention attack.</t>
  </si>
  <si>
    <t>Kendra Contreras</t>
  </si>
  <si>
    <t>Use billion there enough threat.</t>
  </si>
  <si>
    <t>David Bradley</t>
  </si>
  <si>
    <t>Rule staff within mouth.</t>
  </si>
  <si>
    <t>Andrew Stewart</t>
  </si>
  <si>
    <t>At tree note responsibility defense.</t>
  </si>
  <si>
    <t>Ms. Teresa Wilson</t>
  </si>
  <si>
    <t>Condition while enter board its.</t>
  </si>
  <si>
    <t>Jamie Adkins</t>
  </si>
  <si>
    <t>Notice image street fight decision size parent focus.</t>
  </si>
  <si>
    <t>Timothy Ryan</t>
  </si>
  <si>
    <t>Hair attorney professional form finish.</t>
  </si>
  <si>
    <t>Joshua Taylor</t>
  </si>
  <si>
    <t>Leg themselves away space task.</t>
  </si>
  <si>
    <t>Paula Robinson</t>
  </si>
  <si>
    <t>Let newspaper true building card let most.</t>
  </si>
  <si>
    <t>Brandon Hall</t>
  </si>
  <si>
    <t>Ago current practice nation determine operation speak according.</t>
  </si>
  <si>
    <t>Dr. Marvin Thomas Jr.</t>
  </si>
  <si>
    <t>Much section investment on gun young catch.</t>
  </si>
  <si>
    <t>Daniel Jones</t>
  </si>
  <si>
    <t>Arrive attack all form method everything magazine much.</t>
  </si>
  <si>
    <t>Allison Hill</t>
  </si>
  <si>
    <t>Cause bill scientist nation opportunity.</t>
  </si>
  <si>
    <t>Michael Dixon</t>
  </si>
  <si>
    <t>Probably exist professional people.</t>
  </si>
  <si>
    <t>Jennifer David</t>
  </si>
  <si>
    <t>Often always bank price north.</t>
  </si>
  <si>
    <t>Matthew Ross</t>
  </si>
  <si>
    <t>Ten whom evidence political hundred.</t>
  </si>
  <si>
    <t>Rachel Stanley</t>
  </si>
  <si>
    <t>Couple design around save.</t>
  </si>
  <si>
    <t>Dean Santiago</t>
  </si>
  <si>
    <t>Enter capital population lead upon.</t>
  </si>
  <si>
    <t>Cameron Parker</t>
  </si>
  <si>
    <t>Together decide economic.</t>
  </si>
  <si>
    <t>Melissa Peterson</t>
  </si>
  <si>
    <t>Democratic shake bill here.</t>
  </si>
  <si>
    <t>Gregory Baker</t>
  </si>
  <si>
    <t>Role movie win.</t>
  </si>
  <si>
    <t>Juan Calderon</t>
  </si>
  <si>
    <t>Officer relate animal direction eye bag.</t>
  </si>
  <si>
    <t>Brian Ramirez</t>
  </si>
  <si>
    <t>Class great prove reduce raise author.</t>
  </si>
  <si>
    <t>Melanie Wilson</t>
  </si>
  <si>
    <t>Seem shoulder future fall citizen about reveal.</t>
  </si>
  <si>
    <t>Phillip Ryan</t>
  </si>
  <si>
    <t>Truth out major born guy world southern.</t>
  </si>
  <si>
    <t>Matthew Arroyo</t>
  </si>
  <si>
    <t>Month parent who up sense.</t>
  </si>
  <si>
    <t>Sonya Johnston</t>
  </si>
  <si>
    <t>Six space couple best issue.</t>
  </si>
  <si>
    <t>Matthew Fernandez</t>
  </si>
  <si>
    <t>Unit support coach magazine.</t>
  </si>
  <si>
    <t>Alexandra Howell</t>
  </si>
  <si>
    <t>Available defense enter value.</t>
  </si>
  <si>
    <t>Sherry Wood</t>
  </si>
  <si>
    <t>Just myself few worker.</t>
  </si>
  <si>
    <t>Brittney Campbell</t>
  </si>
  <si>
    <t>Data plant enough major town suffer.</t>
  </si>
  <si>
    <t>Jeff Hill</t>
  </si>
  <si>
    <t>Four capital woman.</t>
  </si>
  <si>
    <t>Richard Henson</t>
  </si>
  <si>
    <t>Wind see understand door class son.</t>
  </si>
  <si>
    <t>Jason White</t>
  </si>
  <si>
    <t>Site in prove same easy city.</t>
  </si>
  <si>
    <t>Janet Williams</t>
  </si>
  <si>
    <t>Current truth glass star the.</t>
  </si>
  <si>
    <t>Michelle Evans</t>
  </si>
  <si>
    <t>Project for recent never court.</t>
  </si>
  <si>
    <t>Trevor Young</t>
  </si>
  <si>
    <t>Different current agency each little.</t>
  </si>
  <si>
    <t>Angel Perry</t>
  </si>
  <si>
    <t>Offer responsibility himself hundred challenge reach throughout team.</t>
  </si>
  <si>
    <t>Emily Fischer</t>
  </si>
  <si>
    <t>Partner rest measure store natural today.</t>
  </si>
  <si>
    <t>Karen Green</t>
  </si>
  <si>
    <t>She miss phone ever back.</t>
  </si>
  <si>
    <t>Devon Flores</t>
  </si>
  <si>
    <t>Ball character him check degree increase former.</t>
  </si>
  <si>
    <t>Antonio Wall</t>
  </si>
  <si>
    <t>Toward once receive task she herself.</t>
  </si>
  <si>
    <t>TOTAL AMOUNT DONATED BY ALL STUDENTS :</t>
  </si>
  <si>
    <t>STUDENTS AVERAGE CGPA :</t>
  </si>
  <si>
    <t>HOW MANY STUDENTS ARE CURRENTLY EMPLOYED :</t>
  </si>
  <si>
    <t>HIGEST SALARY PAID</t>
  </si>
  <si>
    <t>LOWEST SALARY PAID</t>
  </si>
  <si>
    <t>FULL NAME</t>
  </si>
  <si>
    <t>GENDER</t>
  </si>
  <si>
    <t>GRADUATION YEAR</t>
  </si>
  <si>
    <t>COUNTRY</t>
  </si>
  <si>
    <t>EMOLOYMENT STATUS</t>
  </si>
  <si>
    <t>MONTHLY SALARY</t>
  </si>
  <si>
    <t>HIGH EARNERS</t>
  </si>
  <si>
    <t>DONATION</t>
  </si>
  <si>
    <t>DONORS</t>
  </si>
  <si>
    <t>DATE OF DONATION</t>
  </si>
  <si>
    <t>NOTES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</si>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</sst>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m/d/yyyy;@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747BE"/>
        <bgColor indexed="64"/>
      </patternFill>
    </fill>
    <fill>
      <patternFill patternType="solid">
        <fgColor rgb="FF2747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/>
    <xf numFmtId="6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6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6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178" fontId="3" fillId="2" borderId="1" xfId="0" applyNumberFormat="1" applyFont="1" applyFill="1" applyBorder="1" applyAlignment="1">
      <alignment horizontal="center" vertical="top"/>
    </xf>
    <xf numFmtId="6" fontId="3" fillId="2" borderId="1" xfId="0" applyNumberFormat="1" applyFont="1" applyFill="1" applyBorder="1" applyAlignment="1">
      <alignment horizontal="center" vertical="top"/>
    </xf>
    <xf numFmtId="179" fontId="3" fillId="2" borderId="1" xfId="0" applyNumberFormat="1" applyFont="1" applyFill="1" applyBorder="1" applyAlignment="1">
      <alignment horizontal="center" vertical="top"/>
    </xf>
    <xf numFmtId="8" fontId="0" fillId="0" borderId="0" xfId="0" applyNumberFormat="1"/>
    <xf numFmtId="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numFmt numFmtId="8" formatCode="&quot;$&quot;#,##0.00_);[Red]\(&quot;$&quot;#,##0.00\)"/>
    </dxf>
    <dxf>
      <numFmt numFmtId="180" formatCode="&quot;$&quot;#,##0.000_);[Red]\(&quot;$&quot;#,##0.000\)"/>
    </dxf>
    <dxf>
      <numFmt numFmtId="181" formatCode="&quot;$&quot;#,##0.0000_);[Red]\(&quot;$&quot;#,##0.0000\)"/>
    </dxf>
    <dxf>
      <numFmt numFmtId="182" formatCode="&quot;$&quot;#,##0.000_);[Red]\(&quot;$&quot;#,##0.000\)"/>
    </dxf>
    <dxf>
      <numFmt numFmtId="8" formatCode="&quot;$&quot;#,##0.00_);[Red]\(&quot;$&quot;#,##0.00\)"/>
    </dxf>
    <dxf>
      <numFmt numFmtId="183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</dxfs>
  <tableStyles count="0" defaultTableStyle="TableStyleMedium9" defaultPivotStyle="PivotStyleLight16"/>
  <colors>
    <mruColors>
      <color rgb="00FB3131"/>
      <color rgb="002747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 Dataset.xlsx]TOTAL DONATION PER YEAR!PivotTable6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CHART OF TOTAL DONATIONS PER YEAR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DONATION PER YEAR'!$E$7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DONATION PER YEAR'!$D$8:$D$12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'TOTAL DONATION PER YEAR'!$E$8:$E$12</c:f>
              <c:numCache>
                <c:formatCode>"$"#,##0.00_);[Red]\("$"#,##0.00\)</c:formatCode>
                <c:ptCount val="4"/>
                <c:pt idx="0">
                  <c:v>114031</c:v>
                </c:pt>
                <c:pt idx="1">
                  <c:v>148762</c:v>
                </c:pt>
                <c:pt idx="2">
                  <c:v>100444</c:v>
                </c:pt>
                <c:pt idx="3">
                  <c:v>120076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8188607"/>
        <c:axId val="213160080"/>
      </c:barChart>
      <c:catAx>
        <c:axId val="878188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160080"/>
        <c:crosses val="autoZero"/>
        <c:auto val="1"/>
        <c:lblAlgn val="ctr"/>
        <c:lblOffset val="100"/>
        <c:noMultiLvlLbl val="0"/>
      </c:catAx>
      <c:valAx>
        <c:axId val="2131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18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 Dataset.xlsx]CGPA AND EMPLOYMENT CHART!PivotTable8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CHART OF AVERAGE CGPA AND EMPLOYMENT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'CGPA AND EMPLOYMENT CHART'!$B$3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'CGPA AND EMPLOYMENT CHART'!$A$4:$A$6</c:f>
              <c:strCache>
                <c:ptCount val="2"/>
                <c:pt idx="0">
                  <c:v>Employed</c:v>
                </c:pt>
                <c:pt idx="1">
                  <c:v>Unemployed</c:v>
                </c:pt>
              </c:strCache>
            </c:strRef>
          </c:cat>
          <c:val>
            <c:numRef>
              <c:f>'CGPA AND EMPLOYMENT CHART'!$B$4:$B$6</c:f>
              <c:numCache>
                <c:formatCode>General</c:formatCode>
                <c:ptCount val="2"/>
                <c:pt idx="0">
                  <c:v>3.71703703703704</c:v>
                </c:pt>
                <c:pt idx="1">
                  <c:v>3.43347826086957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 Dataset.xlsx]VISUALS!PivotTable9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VISUALS!$B$4:$B$8</c:f>
              <c:numCache>
                <c:formatCode>General</c:formatCode>
                <c:ptCount val="4"/>
                <c:pt idx="0">
                  <c:v>101862.615384615</c:v>
                </c:pt>
                <c:pt idx="1">
                  <c:v>195008.066666667</c:v>
                </c:pt>
                <c:pt idx="2">
                  <c:v>124693.5</c:v>
                </c:pt>
                <c:pt idx="3">
                  <c:v>100710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07881696"/>
        <c:axId val="93949357"/>
      </c:barChart>
      <c:catAx>
        <c:axId val="6078816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GRADUATION 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49357"/>
        <c:crosses val="autoZero"/>
        <c:auto val="1"/>
        <c:lblAlgn val="ctr"/>
        <c:lblOffset val="100"/>
        <c:noMultiLvlLbl val="0"/>
      </c:catAx>
      <c:valAx>
        <c:axId val="939493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SALARY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88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 Dataset.xlsx]UNEMPLOYED AND EMPLOYED!PivotTable10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PIE CHART SHOWING EMPLOYED AND UNEMPL0YED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>
        <c:manualLayout>
          <c:layoutTarget val="inner"/>
          <c:xMode val="edge"/>
          <c:yMode val="edge"/>
          <c:x val="0.098421052631579"/>
          <c:y val="0.346527777777778"/>
          <c:w val="0.683815789473684"/>
          <c:h val="0.608101851851852"/>
        </c:manualLayout>
      </c:layout>
      <c:pie3DChart>
        <c:varyColors val="1"/>
        <c:ser>
          <c:idx val="0"/>
          <c:order val="0"/>
          <c:tx>
            <c:strRef>
              <c:f>'UNEMPLOYED AND EMPLOYED'!$B$3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'UNEMPLOYED AND EMPLOYED'!$A$4:$A$6</c:f>
              <c:strCache>
                <c:ptCount val="2"/>
                <c:pt idx="0">
                  <c:v>Employed</c:v>
                </c:pt>
                <c:pt idx="1">
                  <c:v>Unemployed</c:v>
                </c:pt>
              </c:strCache>
            </c:strRef>
          </c:cat>
          <c:val>
            <c:numRef>
              <c:f>'UNEMPLOYED AND EMPLOYED'!$B$4:$B$6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490220</xdr:colOff>
      <xdr:row>3</xdr:row>
      <xdr:rowOff>133985</xdr:rowOff>
    </xdr:from>
    <xdr:to>
      <xdr:col>7</xdr:col>
      <xdr:colOff>515620</xdr:colOff>
      <xdr:row>17</xdr:row>
      <xdr:rowOff>134620</xdr:rowOff>
    </xdr:to>
    <xdr:graphicFrame>
      <xdr:nvGraphicFramePr>
        <xdr:cNvPr id="2" name="Chart 1"/>
        <xdr:cNvGraphicFramePr/>
      </xdr:nvGraphicFramePr>
      <xdr:xfrm>
        <a:off x="2959100" y="682625"/>
        <a:ext cx="4826000" cy="256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977900</xdr:colOff>
      <xdr:row>5</xdr:row>
      <xdr:rowOff>20320</xdr:rowOff>
    </xdr:from>
    <xdr:to>
      <xdr:col>9</xdr:col>
      <xdr:colOff>584200</xdr:colOff>
      <xdr:row>20</xdr:row>
      <xdr:rowOff>20320</xdr:rowOff>
    </xdr:to>
    <xdr:graphicFrame>
      <xdr:nvGraphicFramePr>
        <xdr:cNvPr id="2" name="Chart 1"/>
        <xdr:cNvGraphicFramePr/>
      </xdr:nvGraphicFramePr>
      <xdr:xfrm>
        <a:off x="3515360" y="934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238760</xdr:colOff>
      <xdr:row>3</xdr:row>
      <xdr:rowOff>27940</xdr:rowOff>
    </xdr:from>
    <xdr:to>
      <xdr:col>11</xdr:col>
      <xdr:colOff>469900</xdr:colOff>
      <xdr:row>21</xdr:row>
      <xdr:rowOff>126365</xdr:rowOff>
    </xdr:to>
    <xdr:graphicFrame>
      <xdr:nvGraphicFramePr>
        <xdr:cNvPr id="2" name="Chart 1"/>
        <xdr:cNvGraphicFramePr/>
      </xdr:nvGraphicFramePr>
      <xdr:xfrm>
        <a:off x="3233420" y="576580"/>
        <a:ext cx="5717540" cy="3390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154940</xdr:colOff>
      <xdr:row>1</xdr:row>
      <xdr:rowOff>104140</xdr:rowOff>
    </xdr:from>
    <xdr:to>
      <xdr:col>11</xdr:col>
      <xdr:colOff>104140</xdr:colOff>
      <xdr:row>18</xdr:row>
      <xdr:rowOff>149860</xdr:rowOff>
    </xdr:to>
    <xdr:graphicFrame>
      <xdr:nvGraphicFramePr>
        <xdr:cNvPr id="2" name="Chart 1"/>
        <xdr:cNvGraphicFramePr/>
      </xdr:nvGraphicFramePr>
      <xdr:xfrm>
        <a:off x="3500120" y="287020"/>
        <a:ext cx="4826000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5.4378703704" refreshedBy="user" recordCount="50">
  <cacheSource type="worksheet">
    <worksheetSource ref="A1:L51" sheet="FINAL PROECT"/>
  </cacheSource>
  <cacheFields count="12">
    <cacheField name="Full Name" numFmtId="0">
      <sharedItems count="50">
        <s v="Kimberly Sanchez"/>
        <s v="Peter Callahan Jr."/>
        <s v="Jeremy Thornton"/>
        <s v="Valerie Gill"/>
        <s v="John Daniel"/>
        <s v="Michelle Ross"/>
        <s v="Emily Obrien"/>
        <s v="James Brown"/>
        <s v="Erik Williams"/>
        <s v="Kendra Contreras"/>
        <s v="David Bradley"/>
        <s v="Andrew Stewart"/>
        <s v="Ms. Teresa Wilson"/>
        <s v="Jamie Adkins"/>
        <s v="Timothy Ryan"/>
        <s v="Joshua Taylor"/>
        <s v="Paula Robinson"/>
        <s v="Brandon Hall"/>
        <s v="Dr. Marvin Thomas Jr."/>
        <s v="Daniel Jones"/>
        <s v="Allison Hill"/>
        <s v="Michael Dixon"/>
        <s v="Jennifer David"/>
        <s v="Matthew Ross"/>
        <s v="Rachel Stanley"/>
        <s v="Dean Santiago"/>
        <s v="Cameron Parker"/>
        <s v="Melissa Peterson"/>
        <s v="Gregory Baker"/>
        <s v="Juan Calderon"/>
        <s v="Brian Ramirez"/>
        <s v="Melanie Wilson"/>
        <s v="Phillip Ryan"/>
        <s v="Matthew Arroyo"/>
        <s v="Sonya Johnston"/>
        <s v="Matthew Fernandez"/>
        <s v="Alexandra Howell"/>
        <s v="Sherry Wood"/>
        <s v="Brittney Campbell"/>
        <s v="Jeff Hill"/>
        <s v="Richard Henson"/>
        <s v="Jason White"/>
        <s v="Janet Williams"/>
        <s v="Michelle Evans"/>
        <s v="Trevor Young"/>
        <s v="Angel Perry"/>
        <s v="Emily Fischer"/>
        <s v="Karen Green"/>
        <s v="Devon Flores"/>
        <s v="Antonio Wall"/>
      </sharedItems>
    </cacheField>
    <cacheField name="Gender" numFmtId="0">
      <sharedItems count="2">
        <s v="Male"/>
        <s v="Female"/>
      </sharedItems>
    </cacheField>
    <cacheField name="Graduation Year" numFmtId="0">
      <sharedItems containsSemiMixedTypes="0" containsString="0" containsNumber="1" containsInteger="1" minValue="2022" maxValue="2025" count="4">
        <n v="2022"/>
        <n v="2023"/>
        <n v="2025"/>
        <n v="2024"/>
      </sharedItems>
    </cacheField>
    <cacheField name="CGPA" numFmtId="178">
      <sharedItems containsSemiMixedTypes="0" containsString="0" containsNumber="1" minValue="2.1" maxValue="4.91" count="47">
        <n v="3.98"/>
        <n v="4.05"/>
        <n v="4.91"/>
        <n v="2.43"/>
        <n v="4.63"/>
        <n v="3.3"/>
        <n v="3.84"/>
        <n v="2.67"/>
        <n v="2.84"/>
        <n v="3.88"/>
        <n v="3.36"/>
        <n v="4.8"/>
        <n v="4.49"/>
        <n v="2.79"/>
        <n v="4.34"/>
        <n v="2.1"/>
        <n v="3.83"/>
        <n v="4.61"/>
        <n v="4.22"/>
        <n v="3.66"/>
        <n v="4.42"/>
        <n v="3.37"/>
        <n v="2.21"/>
        <n v="3.23"/>
        <n v="3.51"/>
        <n v="2.66"/>
        <n v="2.83"/>
        <n v="3.08"/>
        <n v="2.24"/>
        <n v="2.2"/>
        <n v="3.09"/>
        <n v="4.04"/>
        <n v="3.47"/>
        <n v="4.14"/>
        <n v="2.57"/>
        <n v="3.39"/>
        <n v="4.71"/>
        <n v="2.86"/>
        <n v="3.79"/>
        <n v="3.26"/>
        <n v="2.8"/>
        <n v="4.06"/>
        <n v="3.75"/>
        <n v="4.7"/>
        <n v="2.54"/>
        <n v="4.36"/>
        <n v="4.45"/>
      </sharedItems>
    </cacheField>
    <cacheField name="Country" numFmtId="0">
      <sharedItems count="5">
        <s v="Kenya"/>
        <s v="Nigeria"/>
        <s v="Egypt"/>
        <s v="Ghana"/>
        <s v="South Africa"/>
      </sharedItems>
    </cacheField>
    <cacheField name="Employment Status" numFmtId="0">
      <sharedItems count="2">
        <s v="Employed"/>
        <s v="Unemployed"/>
      </sharedItems>
    </cacheField>
    <cacheField name="Monthly Salary" numFmtId="6">
      <sharedItems containsSemiMixedTypes="0" containsString="0" containsNumber="1" containsInteger="1" minValue="0" maxValue="498432" count="28">
        <n v="498432"/>
        <n v="480861"/>
        <n v="442154"/>
        <n v="440588"/>
        <n v="433730"/>
        <n v="428584"/>
        <n v="400152"/>
        <n v="358443"/>
        <n v="332713"/>
        <n v="263078"/>
        <n v="251728"/>
        <n v="244081"/>
        <n v="243738"/>
        <n v="224879"/>
        <n v="192788"/>
        <n v="188966"/>
        <n v="174118"/>
        <n v="171981"/>
        <n v="135669"/>
        <n v="130131"/>
        <n v="123158"/>
        <n v="108654"/>
        <n v="100819"/>
        <n v="88409"/>
        <n v="85337"/>
        <n v="81778"/>
        <n v="79821"/>
        <n v="0"/>
      </sharedItems>
    </cacheField>
    <cacheField name="High Earner" numFmtId="6">
      <sharedItems count="2">
        <s v="YES"/>
        <s v="NO"/>
      </sharedItems>
    </cacheField>
    <cacheField name="Donation (₦)" numFmtId="6">
      <sharedItems containsSemiMixedTypes="0" containsString="0" containsNumber="1" containsInteger="1" minValue="0" maxValue="48164" count="22">
        <n v="0"/>
        <n v="3103"/>
        <n v="37789"/>
        <n v="48164"/>
        <n v="37346"/>
        <n v="9671"/>
        <n v="32826"/>
        <n v="26009"/>
        <n v="9573"/>
        <n v="35581"/>
        <n v="31294"/>
        <n v="44187"/>
        <n v="3058"/>
        <n v="27386"/>
        <n v="3847"/>
        <n v="14934"/>
        <n v="43006"/>
        <n v="29711"/>
        <n v="10186"/>
        <n v="1141"/>
        <n v="30964"/>
        <n v="3537"/>
      </sharedItems>
    </cacheField>
    <cacheField name="Donors" numFmtId="179">
      <sharedItems count="2">
        <s v="NO"/>
        <s v="YES"/>
      </sharedItems>
    </cacheField>
    <cacheField name="Date of Donation" numFmtId="179">
      <sharedItems containsString="0" containsBlank="1" containsNonDate="0" containsDate="1" minDate="2023-08-11T00:00:00" maxDate="2025-06-17T00:00:00" count="22">
        <m/>
        <d v="2023-12-02T00:00:00"/>
        <d v="2024-08-28T00:00:00"/>
        <d v="2025-01-02T00:00:00"/>
        <d v="2024-08-31T00:00:00"/>
        <d v="2024-08-04T00:00:00"/>
        <d v="2024-10-03T00:00:00"/>
        <d v="2023-09-30T00:00:00"/>
        <d v="2023-12-13T00:00:00"/>
        <d v="2023-12-20T00:00:00"/>
        <d v="2025-02-28T00:00:00"/>
        <d v="2024-10-15T00:00:00"/>
        <d v="2024-08-12T00:00:00"/>
        <d v="2024-03-31T00:00:00"/>
        <d v="2024-11-22T00:00:00"/>
        <d v="2025-06-17T00:00:00"/>
        <d v="2023-12-06T00:00:00"/>
        <d v="2023-08-11T00:00:00"/>
        <d v="2024-10-10T00:00:00"/>
        <d v="2024-01-10T00:00:00"/>
        <d v="2024-07-30T00:00:00"/>
        <d v="2024-02-08T00:00:00"/>
      </sharedItems>
    </cacheField>
    <cacheField name="Notes" numFmtId="0">
      <sharedItems count="50">
        <s v="Here writer policy news range successful simply."/>
        <s v="Others his other life edge network."/>
        <s v="Act away third tough nation strong old."/>
        <s v="That fear police participant."/>
        <s v="Art rock song body."/>
        <s v="Just military building different full open."/>
        <s v="History office effort remember."/>
        <s v="Able hospital unit size expect recent."/>
        <s v="Try most arm meet surface attention attack."/>
        <s v="Use billion there enough threat."/>
        <s v="Rule staff within mouth."/>
        <s v="At tree note responsibility defense."/>
        <s v="Condition while enter board its."/>
        <s v="Notice image street fight decision size parent focus."/>
        <s v="Hair attorney professional form finish."/>
        <s v="Leg themselves away space task."/>
        <s v="Let newspaper true building card let most."/>
        <s v="Ago current practice nation determine operation speak according."/>
        <s v="Much section investment on gun young catch."/>
        <s v="Arrive attack all form method everything magazine much."/>
        <s v="Cause bill scientist nation opportunity."/>
        <s v="Probably exist professional people."/>
        <s v="Often always bank price north."/>
        <s v="Ten whom evidence political hundred."/>
        <s v="Couple design around save."/>
        <s v="Enter capital population lead upon."/>
        <s v="Together decide economic."/>
        <s v="Democratic shake bill here."/>
        <s v="Role movie win."/>
        <s v="Officer relate animal direction eye bag."/>
        <s v="Class great prove reduce raise author."/>
        <s v="Seem shoulder future fall citizen about reveal."/>
        <s v="Truth out major born guy world southern."/>
        <s v="Month parent who up sense."/>
        <s v="Six space couple best issue."/>
        <s v="Unit support coach magazine."/>
        <s v="Available defense enter value."/>
        <s v="Just myself few worker."/>
        <s v="Data plant enough major town suffer."/>
        <s v="Four capital woman."/>
        <s v="Wind see understand door class son."/>
        <s v="Site in prove same easy city."/>
        <s v="Current truth glass star the."/>
        <s v="Project for recent never court."/>
        <s v="Different current agency each little."/>
        <s v="Offer responsibility himself hundred challenge reach throughout team."/>
        <s v="Partner rest measure store natural today."/>
        <s v="She miss phone ever back."/>
        <s v="Ball character him check degree increase former."/>
        <s v="Toward once receive task she herself.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5.4440393519" refreshedBy="user" recordCount="5">
  <cacheSource type="worksheet">
    <worksheetSource ref="A3:B8" sheet="TOTAL DONATION PER YEAR"/>
  </cacheSource>
  <cacheFields count="2">
    <cacheField name="Graduation Year" numFmtId="0">
      <sharedItems containsNumber="1" containsInteger="1" containsMixedTypes="1" count="5">
        <n v="2022"/>
        <n v="2023"/>
        <n v="2024"/>
        <n v="2025"/>
        <s v="Grand Total"/>
      </sharedItems>
    </cacheField>
    <cacheField name="Total Donation (₦)" numFmtId="0">
      <sharedItems containsSemiMixedTypes="0" containsString="0" containsNumber="1" containsInteger="1" minValue="100444" maxValue="483313" count="5">
        <n v="114031"/>
        <n v="148762"/>
        <n v="100444"/>
        <n v="120076"/>
        <n v="4833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1"/>
    <x v="1"/>
  </r>
  <r>
    <x v="2"/>
    <x v="1"/>
    <x v="1"/>
    <x v="2"/>
    <x v="2"/>
    <x v="0"/>
    <x v="2"/>
    <x v="0"/>
    <x v="0"/>
    <x v="0"/>
    <x v="0"/>
    <x v="2"/>
  </r>
  <r>
    <x v="3"/>
    <x v="1"/>
    <x v="2"/>
    <x v="3"/>
    <x v="3"/>
    <x v="0"/>
    <x v="3"/>
    <x v="0"/>
    <x v="2"/>
    <x v="1"/>
    <x v="2"/>
    <x v="3"/>
  </r>
  <r>
    <x v="4"/>
    <x v="0"/>
    <x v="1"/>
    <x v="4"/>
    <x v="1"/>
    <x v="0"/>
    <x v="4"/>
    <x v="0"/>
    <x v="0"/>
    <x v="0"/>
    <x v="0"/>
    <x v="4"/>
  </r>
  <r>
    <x v="5"/>
    <x v="0"/>
    <x v="3"/>
    <x v="5"/>
    <x v="4"/>
    <x v="0"/>
    <x v="5"/>
    <x v="0"/>
    <x v="3"/>
    <x v="1"/>
    <x v="3"/>
    <x v="5"/>
  </r>
  <r>
    <x v="6"/>
    <x v="1"/>
    <x v="3"/>
    <x v="6"/>
    <x v="2"/>
    <x v="0"/>
    <x v="6"/>
    <x v="0"/>
    <x v="4"/>
    <x v="1"/>
    <x v="4"/>
    <x v="6"/>
  </r>
  <r>
    <x v="7"/>
    <x v="0"/>
    <x v="1"/>
    <x v="7"/>
    <x v="0"/>
    <x v="0"/>
    <x v="7"/>
    <x v="0"/>
    <x v="0"/>
    <x v="0"/>
    <x v="0"/>
    <x v="7"/>
  </r>
  <r>
    <x v="8"/>
    <x v="0"/>
    <x v="1"/>
    <x v="8"/>
    <x v="4"/>
    <x v="0"/>
    <x v="8"/>
    <x v="0"/>
    <x v="5"/>
    <x v="1"/>
    <x v="5"/>
    <x v="8"/>
  </r>
  <r>
    <x v="9"/>
    <x v="0"/>
    <x v="0"/>
    <x v="2"/>
    <x v="3"/>
    <x v="0"/>
    <x v="9"/>
    <x v="0"/>
    <x v="6"/>
    <x v="1"/>
    <x v="6"/>
    <x v="9"/>
  </r>
  <r>
    <x v="10"/>
    <x v="0"/>
    <x v="1"/>
    <x v="9"/>
    <x v="4"/>
    <x v="0"/>
    <x v="10"/>
    <x v="0"/>
    <x v="7"/>
    <x v="1"/>
    <x v="7"/>
    <x v="10"/>
  </r>
  <r>
    <x v="11"/>
    <x v="1"/>
    <x v="3"/>
    <x v="10"/>
    <x v="0"/>
    <x v="0"/>
    <x v="11"/>
    <x v="0"/>
    <x v="0"/>
    <x v="0"/>
    <x v="0"/>
    <x v="11"/>
  </r>
  <r>
    <x v="12"/>
    <x v="1"/>
    <x v="1"/>
    <x v="11"/>
    <x v="1"/>
    <x v="0"/>
    <x v="12"/>
    <x v="0"/>
    <x v="0"/>
    <x v="0"/>
    <x v="0"/>
    <x v="12"/>
  </r>
  <r>
    <x v="13"/>
    <x v="0"/>
    <x v="2"/>
    <x v="12"/>
    <x v="1"/>
    <x v="0"/>
    <x v="13"/>
    <x v="0"/>
    <x v="8"/>
    <x v="1"/>
    <x v="8"/>
    <x v="13"/>
  </r>
  <r>
    <x v="14"/>
    <x v="0"/>
    <x v="1"/>
    <x v="13"/>
    <x v="1"/>
    <x v="0"/>
    <x v="14"/>
    <x v="1"/>
    <x v="0"/>
    <x v="0"/>
    <x v="0"/>
    <x v="14"/>
  </r>
  <r>
    <x v="15"/>
    <x v="0"/>
    <x v="1"/>
    <x v="0"/>
    <x v="2"/>
    <x v="0"/>
    <x v="15"/>
    <x v="1"/>
    <x v="9"/>
    <x v="1"/>
    <x v="9"/>
    <x v="15"/>
  </r>
  <r>
    <x v="16"/>
    <x v="0"/>
    <x v="3"/>
    <x v="14"/>
    <x v="4"/>
    <x v="0"/>
    <x v="16"/>
    <x v="1"/>
    <x v="0"/>
    <x v="0"/>
    <x v="0"/>
    <x v="16"/>
  </r>
  <r>
    <x v="17"/>
    <x v="0"/>
    <x v="2"/>
    <x v="15"/>
    <x v="1"/>
    <x v="0"/>
    <x v="17"/>
    <x v="1"/>
    <x v="0"/>
    <x v="0"/>
    <x v="0"/>
    <x v="17"/>
  </r>
  <r>
    <x v="18"/>
    <x v="1"/>
    <x v="0"/>
    <x v="16"/>
    <x v="3"/>
    <x v="0"/>
    <x v="18"/>
    <x v="1"/>
    <x v="10"/>
    <x v="1"/>
    <x v="10"/>
    <x v="18"/>
  </r>
  <r>
    <x v="19"/>
    <x v="0"/>
    <x v="0"/>
    <x v="17"/>
    <x v="0"/>
    <x v="0"/>
    <x v="19"/>
    <x v="1"/>
    <x v="0"/>
    <x v="0"/>
    <x v="0"/>
    <x v="19"/>
  </r>
  <r>
    <x v="20"/>
    <x v="0"/>
    <x v="0"/>
    <x v="18"/>
    <x v="3"/>
    <x v="0"/>
    <x v="20"/>
    <x v="1"/>
    <x v="0"/>
    <x v="0"/>
    <x v="0"/>
    <x v="20"/>
  </r>
  <r>
    <x v="21"/>
    <x v="0"/>
    <x v="2"/>
    <x v="19"/>
    <x v="4"/>
    <x v="0"/>
    <x v="21"/>
    <x v="1"/>
    <x v="0"/>
    <x v="0"/>
    <x v="0"/>
    <x v="21"/>
  </r>
  <r>
    <x v="22"/>
    <x v="0"/>
    <x v="2"/>
    <x v="20"/>
    <x v="3"/>
    <x v="0"/>
    <x v="22"/>
    <x v="1"/>
    <x v="11"/>
    <x v="1"/>
    <x v="11"/>
    <x v="22"/>
  </r>
  <r>
    <x v="23"/>
    <x v="0"/>
    <x v="0"/>
    <x v="21"/>
    <x v="2"/>
    <x v="0"/>
    <x v="23"/>
    <x v="1"/>
    <x v="0"/>
    <x v="0"/>
    <x v="0"/>
    <x v="23"/>
  </r>
  <r>
    <x v="24"/>
    <x v="0"/>
    <x v="0"/>
    <x v="22"/>
    <x v="1"/>
    <x v="0"/>
    <x v="24"/>
    <x v="1"/>
    <x v="12"/>
    <x v="1"/>
    <x v="12"/>
    <x v="24"/>
  </r>
  <r>
    <x v="25"/>
    <x v="1"/>
    <x v="2"/>
    <x v="23"/>
    <x v="1"/>
    <x v="0"/>
    <x v="25"/>
    <x v="1"/>
    <x v="13"/>
    <x v="1"/>
    <x v="13"/>
    <x v="25"/>
  </r>
  <r>
    <x v="26"/>
    <x v="0"/>
    <x v="2"/>
    <x v="24"/>
    <x v="2"/>
    <x v="0"/>
    <x v="26"/>
    <x v="1"/>
    <x v="0"/>
    <x v="0"/>
    <x v="0"/>
    <x v="26"/>
  </r>
  <r>
    <x v="27"/>
    <x v="0"/>
    <x v="2"/>
    <x v="25"/>
    <x v="2"/>
    <x v="1"/>
    <x v="27"/>
    <x v="1"/>
    <x v="0"/>
    <x v="0"/>
    <x v="0"/>
    <x v="27"/>
  </r>
  <r>
    <x v="28"/>
    <x v="1"/>
    <x v="3"/>
    <x v="26"/>
    <x v="3"/>
    <x v="1"/>
    <x v="27"/>
    <x v="1"/>
    <x v="0"/>
    <x v="0"/>
    <x v="0"/>
    <x v="28"/>
  </r>
  <r>
    <x v="29"/>
    <x v="1"/>
    <x v="0"/>
    <x v="27"/>
    <x v="0"/>
    <x v="1"/>
    <x v="27"/>
    <x v="1"/>
    <x v="14"/>
    <x v="1"/>
    <x v="14"/>
    <x v="29"/>
  </r>
  <r>
    <x v="30"/>
    <x v="0"/>
    <x v="2"/>
    <x v="28"/>
    <x v="0"/>
    <x v="1"/>
    <x v="27"/>
    <x v="1"/>
    <x v="0"/>
    <x v="0"/>
    <x v="0"/>
    <x v="30"/>
  </r>
  <r>
    <x v="31"/>
    <x v="1"/>
    <x v="3"/>
    <x v="29"/>
    <x v="2"/>
    <x v="1"/>
    <x v="27"/>
    <x v="1"/>
    <x v="15"/>
    <x v="1"/>
    <x v="15"/>
    <x v="31"/>
  </r>
  <r>
    <x v="32"/>
    <x v="1"/>
    <x v="2"/>
    <x v="30"/>
    <x v="3"/>
    <x v="1"/>
    <x v="27"/>
    <x v="1"/>
    <x v="0"/>
    <x v="0"/>
    <x v="0"/>
    <x v="32"/>
  </r>
  <r>
    <x v="33"/>
    <x v="1"/>
    <x v="0"/>
    <x v="31"/>
    <x v="1"/>
    <x v="1"/>
    <x v="27"/>
    <x v="1"/>
    <x v="16"/>
    <x v="1"/>
    <x v="16"/>
    <x v="33"/>
  </r>
  <r>
    <x v="34"/>
    <x v="0"/>
    <x v="3"/>
    <x v="32"/>
    <x v="1"/>
    <x v="1"/>
    <x v="27"/>
    <x v="1"/>
    <x v="0"/>
    <x v="0"/>
    <x v="0"/>
    <x v="34"/>
  </r>
  <r>
    <x v="35"/>
    <x v="0"/>
    <x v="1"/>
    <x v="33"/>
    <x v="4"/>
    <x v="1"/>
    <x v="27"/>
    <x v="1"/>
    <x v="17"/>
    <x v="1"/>
    <x v="17"/>
    <x v="35"/>
  </r>
  <r>
    <x v="36"/>
    <x v="0"/>
    <x v="1"/>
    <x v="34"/>
    <x v="2"/>
    <x v="1"/>
    <x v="27"/>
    <x v="1"/>
    <x v="18"/>
    <x v="1"/>
    <x v="18"/>
    <x v="36"/>
  </r>
  <r>
    <x v="37"/>
    <x v="0"/>
    <x v="3"/>
    <x v="35"/>
    <x v="1"/>
    <x v="1"/>
    <x v="27"/>
    <x v="1"/>
    <x v="0"/>
    <x v="0"/>
    <x v="0"/>
    <x v="37"/>
  </r>
  <r>
    <x v="38"/>
    <x v="0"/>
    <x v="2"/>
    <x v="36"/>
    <x v="3"/>
    <x v="1"/>
    <x v="27"/>
    <x v="1"/>
    <x v="19"/>
    <x v="1"/>
    <x v="19"/>
    <x v="38"/>
  </r>
  <r>
    <x v="39"/>
    <x v="1"/>
    <x v="2"/>
    <x v="37"/>
    <x v="2"/>
    <x v="1"/>
    <x v="27"/>
    <x v="1"/>
    <x v="0"/>
    <x v="0"/>
    <x v="0"/>
    <x v="39"/>
  </r>
  <r>
    <x v="40"/>
    <x v="0"/>
    <x v="0"/>
    <x v="38"/>
    <x v="3"/>
    <x v="1"/>
    <x v="27"/>
    <x v="1"/>
    <x v="0"/>
    <x v="0"/>
    <x v="0"/>
    <x v="40"/>
  </r>
  <r>
    <x v="41"/>
    <x v="0"/>
    <x v="0"/>
    <x v="39"/>
    <x v="2"/>
    <x v="1"/>
    <x v="27"/>
    <x v="1"/>
    <x v="0"/>
    <x v="0"/>
    <x v="0"/>
    <x v="41"/>
  </r>
  <r>
    <x v="42"/>
    <x v="1"/>
    <x v="1"/>
    <x v="40"/>
    <x v="3"/>
    <x v="1"/>
    <x v="27"/>
    <x v="1"/>
    <x v="20"/>
    <x v="1"/>
    <x v="20"/>
    <x v="42"/>
  </r>
  <r>
    <x v="43"/>
    <x v="1"/>
    <x v="1"/>
    <x v="41"/>
    <x v="0"/>
    <x v="1"/>
    <x v="27"/>
    <x v="1"/>
    <x v="0"/>
    <x v="0"/>
    <x v="0"/>
    <x v="43"/>
  </r>
  <r>
    <x v="44"/>
    <x v="0"/>
    <x v="3"/>
    <x v="42"/>
    <x v="3"/>
    <x v="1"/>
    <x v="27"/>
    <x v="1"/>
    <x v="0"/>
    <x v="0"/>
    <x v="0"/>
    <x v="44"/>
  </r>
  <r>
    <x v="45"/>
    <x v="1"/>
    <x v="3"/>
    <x v="43"/>
    <x v="1"/>
    <x v="1"/>
    <x v="27"/>
    <x v="1"/>
    <x v="0"/>
    <x v="0"/>
    <x v="0"/>
    <x v="45"/>
  </r>
  <r>
    <x v="46"/>
    <x v="1"/>
    <x v="0"/>
    <x v="44"/>
    <x v="0"/>
    <x v="1"/>
    <x v="27"/>
    <x v="1"/>
    <x v="0"/>
    <x v="0"/>
    <x v="0"/>
    <x v="46"/>
  </r>
  <r>
    <x v="47"/>
    <x v="1"/>
    <x v="1"/>
    <x v="45"/>
    <x v="1"/>
    <x v="1"/>
    <x v="27"/>
    <x v="1"/>
    <x v="21"/>
    <x v="1"/>
    <x v="21"/>
    <x v="47"/>
  </r>
  <r>
    <x v="48"/>
    <x v="0"/>
    <x v="1"/>
    <x v="46"/>
    <x v="4"/>
    <x v="1"/>
    <x v="27"/>
    <x v="1"/>
    <x v="0"/>
    <x v="0"/>
    <x v="0"/>
    <x v="48"/>
  </r>
  <r>
    <x v="49"/>
    <x v="0"/>
    <x v="0"/>
    <x v="0"/>
    <x v="4"/>
    <x v="1"/>
    <x v="27"/>
    <x v="1"/>
    <x v="0"/>
    <x v="0"/>
    <x v="0"/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DONA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2"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numFmtId="178" showAll="0"/>
    <pivotField compact="0" showAll="0"/>
    <pivotField compact="0" showAll="0"/>
    <pivotField compact="0" numFmtId="6" showAll="0"/>
    <pivotField compact="0" showAll="0"/>
    <pivotField dataField="1" compact="0" numFmtId="6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Donation (₦)" fld="8" baseField="0" baseItem="0"/>
  </dataFields>
  <formats count="11">
    <format dxfId="0">
      <pivotArea grandRow="1" collapsedLevelsAreSubtotals="1" fieldPosition="0"/>
    </format>
    <format dxfId="1">
      <pivotArea grandRow="1" collapsedLevelsAreSubtotals="1" fieldPosition="0"/>
    </format>
    <format dxfId="2">
      <pivotArea grandRow="1" collapsedLevelsAreSubtotals="1" fieldPosition="0"/>
    </format>
    <format dxfId="3">
      <pivotArea grandRow="1" collapsedLevelsAreSubtotals="1" fieldPosition="0"/>
    </format>
    <format dxfId="4">
      <pivotArea grandRow="1" collapsedLevelsAreSubtotals="1" fieldPosition="0"/>
    </format>
    <format dxfId="5">
      <pivotArea grandRow="1" collapsedLevelsAreSubtotals="1" fieldPosition="0"/>
    </format>
    <format dxfId="6">
      <pivotArea grandRow="1" collapsedLevelsAreSubtotals="1" fieldPosition="0"/>
    </format>
    <format dxfId="7">
      <pivotArea collapsedLevelsAreSubtotals="1" fieldPosition="0">
        <references count="1">
          <reference field="2" count="1" selected="0">
            <x v="0"/>
          </reference>
        </references>
      </pivotArea>
    </format>
    <format dxfId="8">
      <pivotArea collapsedLevelsAreSubtotals="1" fieldPosition="0">
        <references count="1">
          <reference field="2" count="1" selected="0">
            <x v="1"/>
          </reference>
        </references>
      </pivotArea>
    </format>
    <format dxfId="9">
      <pivotArea collapsedLevelsAreSubtotals="1" fieldPosition="0">
        <references count="1">
          <reference field="2" count="1" selected="0">
            <x v="2"/>
          </reference>
        </references>
      </pivotArea>
    </format>
    <format dxfId="10">
      <pivotArea collapsedLevelsAreSubtotals="1" fieldPosition="0">
        <references count="1">
          <reference field="2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7:E12" firstHeaderRow="1" firstDataRow="1" firstDataCol="1"/>
  <pivotFields count="2">
    <pivotField axis="axisRow" compact="0" multipleItemSelectionAllowed="1" showAll="0">
      <items count="6">
        <item x="0"/>
        <item x="1"/>
        <item x="2"/>
        <item x="3"/>
        <item h="1" x="4"/>
        <item t="default"/>
      </items>
    </pivotField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Donation (₦)" fld="1" baseField="0" baseItem="0"/>
  </dataFields>
  <formats count="1"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12">
    <pivotField compact="0" showAll="0"/>
    <pivotField compact="0" showAll="0"/>
    <pivotField compact="0" showAll="0"/>
    <pivotField dataField="1" compact="0" numFmtId="178" showAll="0">
      <items count="48">
        <item x="15"/>
        <item x="29"/>
        <item x="22"/>
        <item x="28"/>
        <item x="3"/>
        <item x="44"/>
        <item x="34"/>
        <item x="25"/>
        <item x="7"/>
        <item x="13"/>
        <item x="40"/>
        <item x="26"/>
        <item x="8"/>
        <item x="37"/>
        <item x="27"/>
        <item x="30"/>
        <item x="23"/>
        <item x="39"/>
        <item x="5"/>
        <item x="10"/>
        <item x="21"/>
        <item x="35"/>
        <item x="32"/>
        <item x="24"/>
        <item x="19"/>
        <item x="42"/>
        <item x="38"/>
        <item x="16"/>
        <item x="6"/>
        <item x="9"/>
        <item x="0"/>
        <item x="31"/>
        <item x="1"/>
        <item x="41"/>
        <item x="33"/>
        <item x="18"/>
        <item x="14"/>
        <item x="45"/>
        <item x="20"/>
        <item x="46"/>
        <item x="12"/>
        <item x="17"/>
        <item x="4"/>
        <item x="43"/>
        <item x="36"/>
        <item x="11"/>
        <item x="2"/>
        <item t="default"/>
      </items>
    </pivotField>
    <pivotField compact="0" showAll="0"/>
    <pivotField axis="axisRow" compact="0" showAll="0">
      <items count="3">
        <item x="0"/>
        <item x="1"/>
        <item t="default"/>
      </items>
    </pivotField>
    <pivotField compact="0" numFmtId="6" showAll="0"/>
    <pivotField compact="0" showAll="0"/>
    <pivotField compact="0" numFmtId="6" showAll="0"/>
    <pivotField compact="0" showAll="0"/>
    <pivotField compact="0" showAll="0"/>
    <pivotField compact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 AVERAGE CGPA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2"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numFmtId="178" showAll="0"/>
    <pivotField compact="0" showAll="0"/>
    <pivotField compact="0" showAll="0"/>
    <pivotField dataField="1" compact="0" numFmtId="6" showAll="0"/>
    <pivotField compact="0" showAll="0"/>
    <pivotField compact="0" numFmtId="6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 Salary" fld="6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12">
    <pivotField dataField="1" compact="0" showAll="0"/>
    <pivotField compact="0" showAll="0"/>
    <pivotField compact="0" showAll="0"/>
    <pivotField compact="0" numFmtId="178" showAll="0"/>
    <pivotField compact="0" showAll="0"/>
    <pivotField axis="axisRow" compact="0" showAll="0">
      <items count="3">
        <item x="0"/>
        <item x="1"/>
        <item t="default"/>
      </items>
    </pivotField>
    <pivotField compact="0" numFmtId="6" showAll="0"/>
    <pivotField compact="0" showAll="0"/>
    <pivotField compact="0" numFmtId="6" showAll="0"/>
    <pivotField compact="0" showAll="0"/>
    <pivotField compact="0" showAll="0"/>
    <pivotField compact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Full 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3:E12"/>
  <sheetViews>
    <sheetView workbookViewId="0">
      <selection activeCell="E19" sqref="E19"/>
    </sheetView>
  </sheetViews>
  <sheetFormatPr defaultColWidth="8.88888888888889" defaultRowHeight="14.4" outlineLevelCol="4"/>
  <cols>
    <col min="1" max="1" width="17.8888888888889"/>
    <col min="2" max="2" width="18.1111111111111"/>
    <col min="4" max="4" width="17.8888888888889"/>
    <col min="5" max="5" width="25.4444444444444"/>
  </cols>
  <sheetData>
    <row r="3" spans="1:5">
      <c r="A3" t="s">
        <v>0</v>
      </c>
      <c r="B3" t="s">
        <v>1</v>
      </c>
    </row>
    <row r="4" spans="1:5">
      <c r="A4">
        <v>2022</v>
      </c>
      <c r="B4" s="17">
        <v>114031</v>
      </c>
    </row>
    <row r="5" spans="1:5">
      <c r="A5">
        <v>2023</v>
      </c>
      <c r="B5" s="17">
        <v>148762</v>
      </c>
    </row>
    <row r="6" spans="1:5">
      <c r="A6">
        <v>2024</v>
      </c>
      <c r="B6" s="17">
        <v>100444</v>
      </c>
    </row>
    <row r="7" spans="1:5">
      <c r="A7">
        <v>2025</v>
      </c>
      <c r="B7" s="17">
        <v>120076</v>
      </c>
      <c r="C7"/>
      <c r="D7" t="s">
        <v>0</v>
      </c>
      <c r="E7" t="s">
        <v>2</v>
      </c>
    </row>
    <row r="8" spans="1:5">
      <c r="A8" t="s">
        <v>3</v>
      </c>
      <c r="B8" s="18">
        <v>483313</v>
      </c>
      <c r="C8"/>
      <c r="D8">
        <v>2022</v>
      </c>
      <c r="E8" s="17">
        <v>114031</v>
      </c>
    </row>
    <row r="9" spans="1:5">
      <c r="D9">
        <v>2023</v>
      </c>
      <c r="E9" s="17">
        <v>148762</v>
      </c>
    </row>
    <row r="10" spans="1:5">
      <c r="D10">
        <v>2024</v>
      </c>
      <c r="E10" s="17">
        <v>100444</v>
      </c>
    </row>
    <row r="11" spans="1:5">
      <c r="D11">
        <v>2025</v>
      </c>
      <c r="E11" s="17">
        <v>120076</v>
      </c>
    </row>
    <row r="12" spans="1:5">
      <c r="D12" t="s">
        <v>3</v>
      </c>
      <c r="E12" s="17">
        <v>483313</v>
      </c>
    </row>
  </sheetData>
  <pageMargins left="0.75" right="0.75" top="1" bottom="1" header="0.5" footer="0.5"/>
  <headerFooter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3:B6"/>
  <sheetViews>
    <sheetView workbookViewId="0">
      <selection activeCell="J1" sqref="J1"/>
    </sheetView>
  </sheetViews>
  <sheetFormatPr defaultColWidth="8.88888888888889" defaultRowHeight="14.4" outlineLevelRow="5" outlineLevelCol="1"/>
  <cols>
    <col min="1" max="1" width="21.1111111111111"/>
    <col min="2" max="2" width="15.8888888888889"/>
    <col min="3" max="3" width="20.2222222222222"/>
    <col min="4" max="4" width="11.4444444444444"/>
  </cols>
  <sheetData>
    <row r="3" spans="1:2">
      <c r="A3" t="s">
        <v>4</v>
      </c>
      <c r="B3" t="s">
        <v>5</v>
      </c>
    </row>
    <row r="4" spans="1:2">
      <c r="A4" t="s">
        <v>6</v>
      </c>
      <c r="B4">
        <v>3.71703703703704</v>
      </c>
    </row>
    <row r="5" spans="1:2">
      <c r="A5" t="s">
        <v>7</v>
      </c>
      <c r="B5">
        <v>3.43347826086957</v>
      </c>
    </row>
    <row r="6" spans="1:2">
      <c r="A6" t="s">
        <v>3</v>
      </c>
      <c r="B6">
        <v>3.5866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3:B8"/>
  <sheetViews>
    <sheetView workbookViewId="0">
      <selection activeCell="E28" sqref="E28"/>
    </sheetView>
  </sheetViews>
  <sheetFormatPr defaultColWidth="8.88888888888889" defaultRowHeight="14.4" outlineLevelRow="7" outlineLevelCol="1"/>
  <cols>
    <col min="1" max="1" width="17.8888888888889"/>
    <col min="2" max="2" width="25.7777777777778"/>
  </cols>
  <sheetData>
    <row r="3" spans="1:2">
      <c r="A3" t="s">
        <v>0</v>
      </c>
      <c r="B3" t="s">
        <v>8</v>
      </c>
    </row>
    <row r="4" spans="1:2">
      <c r="A4">
        <v>2022</v>
      </c>
      <c r="B4">
        <v>101862.615384615</v>
      </c>
    </row>
    <row r="5" spans="1:2">
      <c r="A5">
        <v>2023</v>
      </c>
      <c r="B5">
        <v>195008.066666667</v>
      </c>
    </row>
    <row r="6" spans="1:2">
      <c r="A6">
        <v>2024</v>
      </c>
      <c r="B6">
        <v>124693.5</v>
      </c>
    </row>
    <row r="7" spans="1:2">
      <c r="A7">
        <v>2025</v>
      </c>
      <c r="B7">
        <v>100710</v>
      </c>
    </row>
    <row r="8" spans="1:2">
      <c r="A8" t="s">
        <v>3</v>
      </c>
      <c r="B8">
        <v>134095.8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B3131"/>
  </sheetPr>
  <dimension ref="A3:B6"/>
  <sheetViews>
    <sheetView workbookViewId="0">
      <selection activeCell="M17" sqref="M17"/>
    </sheetView>
  </sheetViews>
  <sheetFormatPr defaultColWidth="8.88888888888889" defaultRowHeight="14.4" outlineLevelRow="5" outlineLevelCol="1"/>
  <cols>
    <col min="1" max="1" width="21.1111111111111"/>
    <col min="2" max="2" width="18.7777777777778"/>
  </cols>
  <sheetData>
    <row r="3" spans="1:2">
      <c r="A3" t="s">
        <v>4</v>
      </c>
      <c r="B3" t="s">
        <v>9</v>
      </c>
    </row>
    <row r="4" spans="1:2">
      <c r="A4" t="s">
        <v>6</v>
      </c>
      <c r="B4">
        <v>27</v>
      </c>
    </row>
    <row r="5" spans="1:2">
      <c r="A5" t="s">
        <v>7</v>
      </c>
      <c r="B5">
        <v>23</v>
      </c>
    </row>
    <row r="6" spans="1:2">
      <c r="A6" t="s">
        <v>3</v>
      </c>
      <c r="B6">
        <v>50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51"/>
  <sheetViews>
    <sheetView tabSelected="1" workbookViewId="0">
      <selection activeCell="C1" sqref="C1"/>
    </sheetView>
  </sheetViews>
  <sheetFormatPr defaultColWidth="9" defaultRowHeight="14.4"/>
  <cols>
    <col min="1" max="1" width="20.6666666666667" customWidth="1"/>
    <col min="3" max="3" width="20" style="4" customWidth="1"/>
    <col min="4" max="4" width="7.55555555555556" style="5" customWidth="1"/>
    <col min="5" max="5" width="11.7777777777778" customWidth="1"/>
    <col min="6" max="6" width="23.8888888888889" style="4" customWidth="1"/>
    <col min="7" max="7" width="18.6666666666667" style="6" customWidth="1"/>
    <col min="8" max="9" width="16" style="6" customWidth="1"/>
    <col min="10" max="11" width="21" style="7" customWidth="1"/>
    <col min="12" max="12" width="64.5555555555556" customWidth="1"/>
  </cols>
  <sheetData>
    <row r="1" ht="18" spans="1:12">
      <c r="A1" s="13" t="s">
        <v>10</v>
      </c>
      <c r="B1" s="13" t="s">
        <v>11</v>
      </c>
      <c r="C1" s="13" t="s">
        <v>0</v>
      </c>
      <c r="D1" s="14" t="s">
        <v>12</v>
      </c>
      <c r="E1" s="13" t="s">
        <v>13</v>
      </c>
      <c r="F1" s="13" t="s">
        <v>4</v>
      </c>
      <c r="G1" s="15" t="s">
        <v>14</v>
      </c>
      <c r="H1" s="15" t="s">
        <v>15</v>
      </c>
      <c r="I1" s="15" t="s">
        <v>16</v>
      </c>
      <c r="J1" s="16" t="s">
        <v>17</v>
      </c>
      <c r="K1" s="16" t="s">
        <v>18</v>
      </c>
      <c r="L1" s="13" t="s">
        <v>19</v>
      </c>
    </row>
    <row r="2" spans="1:12">
      <c r="A2" t="s">
        <v>20</v>
      </c>
      <c r="B2" t="s">
        <v>21</v>
      </c>
      <c r="C2" s="4">
        <v>2022</v>
      </c>
      <c r="D2" s="5">
        <v>3.98</v>
      </c>
      <c r="E2" t="s">
        <v>22</v>
      </c>
      <c r="F2" s="4" t="s">
        <v>6</v>
      </c>
      <c r="G2" s="6">
        <v>498432</v>
      </c>
      <c r="H2" s="6" t="str">
        <f>IF(G2&gt;200000,"YES","NO")</f>
        <v>YES</v>
      </c>
      <c r="I2" s="6">
        <v>0</v>
      </c>
      <c r="J2" s="7" t="str">
        <f>IF(I2&gt;0,"YES","NO")</f>
        <v>NO</v>
      </c>
      <c r="L2" t="s">
        <v>23</v>
      </c>
    </row>
    <row r="3" spans="1:12">
      <c r="A3" t="s">
        <v>24</v>
      </c>
      <c r="B3" t="s">
        <v>25</v>
      </c>
      <c r="C3" s="4">
        <v>2023</v>
      </c>
      <c r="D3" s="5">
        <v>4.05</v>
      </c>
      <c r="E3" t="s">
        <v>26</v>
      </c>
      <c r="F3" s="4" t="s">
        <v>6</v>
      </c>
      <c r="G3" s="6">
        <v>480861</v>
      </c>
      <c r="H3" s="6" t="str">
        <f>IF(G3&gt;200000,"YES","NO")</f>
        <v>YES</v>
      </c>
      <c r="I3" s="6">
        <v>3103</v>
      </c>
      <c r="J3" s="7" t="str">
        <f>IF(I3&gt;0,"YES","NO")</f>
        <v>YES</v>
      </c>
      <c r="K3" s="7">
        <v>45262</v>
      </c>
      <c r="L3" t="s">
        <v>27</v>
      </c>
    </row>
    <row r="4" spans="1:12">
      <c r="A4" t="s">
        <v>28</v>
      </c>
      <c r="B4" t="s">
        <v>25</v>
      </c>
      <c r="C4" s="4">
        <v>2023</v>
      </c>
      <c r="D4" s="5">
        <v>4.91</v>
      </c>
      <c r="E4" t="s">
        <v>29</v>
      </c>
      <c r="F4" s="4" t="s">
        <v>6</v>
      </c>
      <c r="G4" s="6">
        <v>442154</v>
      </c>
      <c r="H4" s="6" t="str">
        <f>IF(G4&gt;200000,"YES","NO")</f>
        <v>YES</v>
      </c>
      <c r="I4" s="6">
        <v>0</v>
      </c>
      <c r="J4" s="7" t="str">
        <f>IF(I4&gt;0,"YES","NO")</f>
        <v>NO</v>
      </c>
      <c r="L4" t="s">
        <v>30</v>
      </c>
    </row>
    <row r="5" spans="1:12">
      <c r="A5" t="s">
        <v>31</v>
      </c>
      <c r="B5" t="s">
        <v>25</v>
      </c>
      <c r="C5" s="4">
        <v>2025</v>
      </c>
      <c r="D5" s="5">
        <v>2.43</v>
      </c>
      <c r="E5" t="s">
        <v>32</v>
      </c>
      <c r="F5" s="4" t="s">
        <v>6</v>
      </c>
      <c r="G5" s="6">
        <v>440588</v>
      </c>
      <c r="H5" s="6" t="str">
        <f>IF(G5&gt;200000,"YES","NO")</f>
        <v>YES</v>
      </c>
      <c r="I5" s="6">
        <v>37789</v>
      </c>
      <c r="J5" s="7" t="str">
        <f>IF(I5&gt;0,"YES","NO")</f>
        <v>YES</v>
      </c>
      <c r="K5" s="7">
        <v>45532</v>
      </c>
      <c r="L5" t="s">
        <v>33</v>
      </c>
    </row>
    <row r="6" spans="1:12">
      <c r="A6" t="s">
        <v>34</v>
      </c>
      <c r="B6" t="s">
        <v>21</v>
      </c>
      <c r="C6" s="4">
        <v>2023</v>
      </c>
      <c r="D6" s="5">
        <v>4.63</v>
      </c>
      <c r="E6" t="s">
        <v>26</v>
      </c>
      <c r="F6" s="4" t="s">
        <v>6</v>
      </c>
      <c r="G6" s="6">
        <v>433730</v>
      </c>
      <c r="H6" s="6" t="str">
        <f>IF(G6&gt;200000,"YES","NO")</f>
        <v>YES</v>
      </c>
      <c r="I6" s="6">
        <v>0</v>
      </c>
      <c r="J6" s="7" t="str">
        <f>IF(I6&gt;0,"YES","NO")</f>
        <v>NO</v>
      </c>
      <c r="L6" t="s">
        <v>35</v>
      </c>
    </row>
    <row r="7" spans="1:12">
      <c r="A7" t="s">
        <v>36</v>
      </c>
      <c r="B7" t="s">
        <v>21</v>
      </c>
      <c r="C7" s="4">
        <v>2024</v>
      </c>
      <c r="D7" s="5">
        <v>3.3</v>
      </c>
      <c r="E7" t="s">
        <v>37</v>
      </c>
      <c r="F7" s="4" t="s">
        <v>6</v>
      </c>
      <c r="G7" s="6">
        <v>428584</v>
      </c>
      <c r="H7" s="6" t="str">
        <f>IF(G7&gt;200000,"YES","NO")</f>
        <v>YES</v>
      </c>
      <c r="I7" s="6">
        <v>48164</v>
      </c>
      <c r="J7" s="7" t="str">
        <f>IF(I7&gt;0,"YES","NO")</f>
        <v>YES</v>
      </c>
      <c r="K7" s="7">
        <v>45659</v>
      </c>
      <c r="L7" t="s">
        <v>38</v>
      </c>
    </row>
    <row r="8" spans="1:12">
      <c r="A8" t="s">
        <v>39</v>
      </c>
      <c r="B8" t="s">
        <v>25</v>
      </c>
      <c r="C8" s="4">
        <v>2024</v>
      </c>
      <c r="D8" s="5">
        <v>3.84</v>
      </c>
      <c r="E8" t="s">
        <v>29</v>
      </c>
      <c r="F8" s="4" t="s">
        <v>6</v>
      </c>
      <c r="G8" s="6">
        <v>400152</v>
      </c>
      <c r="H8" s="6" t="str">
        <f>IF(G8&gt;200000,"YES","NO")</f>
        <v>YES</v>
      </c>
      <c r="I8" s="6">
        <v>37346</v>
      </c>
      <c r="J8" s="7" t="str">
        <f>IF(I8&gt;0,"YES","NO")</f>
        <v>YES</v>
      </c>
      <c r="K8" s="7">
        <v>45535</v>
      </c>
      <c r="L8" t="s">
        <v>40</v>
      </c>
    </row>
    <row r="9" spans="1:12">
      <c r="A9" t="s">
        <v>41</v>
      </c>
      <c r="B9" t="s">
        <v>21</v>
      </c>
      <c r="C9" s="4">
        <v>2023</v>
      </c>
      <c r="D9" s="5">
        <v>2.67</v>
      </c>
      <c r="E9" t="s">
        <v>22</v>
      </c>
      <c r="F9" s="4" t="s">
        <v>6</v>
      </c>
      <c r="G9" s="6">
        <v>358443</v>
      </c>
      <c r="H9" s="6" t="str">
        <f>IF(G9&gt;200000,"YES","NO")</f>
        <v>YES</v>
      </c>
      <c r="I9" s="6">
        <v>0</v>
      </c>
      <c r="J9" s="7" t="str">
        <f>IF(I9&gt;0,"YES","NO")</f>
        <v>NO</v>
      </c>
      <c r="L9" t="s">
        <v>42</v>
      </c>
    </row>
    <row r="10" spans="1:12">
      <c r="A10" t="s">
        <v>43</v>
      </c>
      <c r="B10" t="s">
        <v>21</v>
      </c>
      <c r="C10" s="4">
        <v>2023</v>
      </c>
      <c r="D10" s="5">
        <v>2.84</v>
      </c>
      <c r="E10" t="s">
        <v>37</v>
      </c>
      <c r="F10" s="4" t="s">
        <v>6</v>
      </c>
      <c r="G10" s="6">
        <v>332713</v>
      </c>
      <c r="H10" s="6" t="str">
        <f>IF(G10&gt;200000,"YES","NO")</f>
        <v>YES</v>
      </c>
      <c r="I10" s="6">
        <v>9671</v>
      </c>
      <c r="J10" s="7" t="str">
        <f>IF(I10&gt;0,"YES","NO")</f>
        <v>YES</v>
      </c>
      <c r="K10" s="7">
        <v>45508</v>
      </c>
      <c r="L10" t="s">
        <v>44</v>
      </c>
    </row>
    <row r="11" spans="1:12">
      <c r="A11" t="s">
        <v>45</v>
      </c>
      <c r="B11" t="s">
        <v>21</v>
      </c>
      <c r="C11" s="4">
        <v>2022</v>
      </c>
      <c r="D11" s="5">
        <v>4.91</v>
      </c>
      <c r="E11" t="s">
        <v>32</v>
      </c>
      <c r="F11" s="4" t="s">
        <v>6</v>
      </c>
      <c r="G11" s="6">
        <v>263078</v>
      </c>
      <c r="H11" s="6" t="str">
        <f>IF(G11&gt;200000,"YES","NO")</f>
        <v>YES</v>
      </c>
      <c r="I11" s="6">
        <v>32826</v>
      </c>
      <c r="J11" s="7" t="str">
        <f>IF(I11&gt;0,"YES","NO")</f>
        <v>YES</v>
      </c>
      <c r="K11" s="7">
        <v>45568</v>
      </c>
      <c r="L11" t="s">
        <v>46</v>
      </c>
    </row>
    <row r="12" spans="1:12">
      <c r="A12" t="s">
        <v>47</v>
      </c>
      <c r="B12" t="s">
        <v>21</v>
      </c>
      <c r="C12" s="4">
        <v>2023</v>
      </c>
      <c r="D12" s="5">
        <v>3.88</v>
      </c>
      <c r="E12" t="s">
        <v>37</v>
      </c>
      <c r="F12" s="4" t="s">
        <v>6</v>
      </c>
      <c r="G12" s="6">
        <v>251728</v>
      </c>
      <c r="H12" s="6" t="str">
        <f>IF(G12&gt;200000,"YES","NO")</f>
        <v>YES</v>
      </c>
      <c r="I12" s="6">
        <v>26009</v>
      </c>
      <c r="J12" s="7" t="str">
        <f>IF(I12&gt;0,"YES","NO")</f>
        <v>YES</v>
      </c>
      <c r="K12" s="7">
        <v>45199</v>
      </c>
      <c r="L12" t="s">
        <v>48</v>
      </c>
    </row>
    <row r="13" spans="1:12">
      <c r="A13" t="s">
        <v>49</v>
      </c>
      <c r="B13" t="s">
        <v>25</v>
      </c>
      <c r="C13" s="4">
        <v>2024</v>
      </c>
      <c r="D13" s="5">
        <v>3.36</v>
      </c>
      <c r="E13" t="s">
        <v>22</v>
      </c>
      <c r="F13" s="4" t="s">
        <v>6</v>
      </c>
      <c r="G13" s="6">
        <v>244081</v>
      </c>
      <c r="H13" s="6" t="str">
        <f>IF(G13&gt;200000,"YES","NO")</f>
        <v>YES</v>
      </c>
      <c r="I13" s="6">
        <v>0</v>
      </c>
      <c r="J13" s="7" t="str">
        <f>IF(I13&gt;0,"YES","NO")</f>
        <v>NO</v>
      </c>
      <c r="L13" t="s">
        <v>50</v>
      </c>
    </row>
    <row r="14" spans="1:12">
      <c r="A14" t="s">
        <v>51</v>
      </c>
      <c r="B14" t="s">
        <v>25</v>
      </c>
      <c r="C14" s="4">
        <v>2023</v>
      </c>
      <c r="D14" s="5">
        <v>4.8</v>
      </c>
      <c r="E14" t="s">
        <v>26</v>
      </c>
      <c r="F14" s="4" t="s">
        <v>6</v>
      </c>
      <c r="G14" s="6">
        <v>243738</v>
      </c>
      <c r="H14" s="6" t="str">
        <f>IF(G14&gt;200000,"YES","NO")</f>
        <v>YES</v>
      </c>
      <c r="I14" s="6">
        <v>0</v>
      </c>
      <c r="J14" s="7" t="str">
        <f>IF(I14&gt;0,"YES","NO")</f>
        <v>NO</v>
      </c>
      <c r="L14" t="s">
        <v>52</v>
      </c>
    </row>
    <row r="15" spans="1:12">
      <c r="A15" t="s">
        <v>53</v>
      </c>
      <c r="B15" t="s">
        <v>21</v>
      </c>
      <c r="C15" s="4">
        <v>2025</v>
      </c>
      <c r="D15" s="5">
        <v>4.49</v>
      </c>
      <c r="E15" t="s">
        <v>26</v>
      </c>
      <c r="F15" s="4" t="s">
        <v>6</v>
      </c>
      <c r="G15" s="6">
        <v>224879</v>
      </c>
      <c r="H15" s="6" t="str">
        <f>IF(G15&gt;200000,"YES","NO")</f>
        <v>YES</v>
      </c>
      <c r="I15" s="6">
        <v>9573</v>
      </c>
      <c r="J15" s="7" t="str">
        <f>IF(I15&gt;0,"YES","NO")</f>
        <v>YES</v>
      </c>
      <c r="K15" s="7">
        <v>45273</v>
      </c>
      <c r="L15" t="s">
        <v>54</v>
      </c>
    </row>
    <row r="16" spans="1:12">
      <c r="A16" t="s">
        <v>55</v>
      </c>
      <c r="B16" t="s">
        <v>21</v>
      </c>
      <c r="C16" s="4">
        <v>2023</v>
      </c>
      <c r="D16" s="5">
        <v>2.79</v>
      </c>
      <c r="E16" t="s">
        <v>26</v>
      </c>
      <c r="F16" s="4" t="s">
        <v>6</v>
      </c>
      <c r="G16" s="6">
        <v>192788</v>
      </c>
      <c r="H16" s="6" t="str">
        <f>IF(G16&gt;200000,"YES","NO")</f>
        <v>NO</v>
      </c>
      <c r="I16" s="6">
        <v>0</v>
      </c>
      <c r="J16" s="7" t="str">
        <f>IF(I16&gt;0,"YES","NO")</f>
        <v>NO</v>
      </c>
      <c r="L16" t="s">
        <v>56</v>
      </c>
    </row>
    <row r="17" spans="1:12">
      <c r="A17" t="s">
        <v>57</v>
      </c>
      <c r="B17" t="s">
        <v>21</v>
      </c>
      <c r="C17" s="4">
        <v>2023</v>
      </c>
      <c r="D17" s="5">
        <v>3.98</v>
      </c>
      <c r="E17" t="s">
        <v>29</v>
      </c>
      <c r="F17" s="4" t="s">
        <v>6</v>
      </c>
      <c r="G17" s="6">
        <v>188966</v>
      </c>
      <c r="H17" s="6" t="str">
        <f>IF(G17&gt;200000,"YES","NO")</f>
        <v>NO</v>
      </c>
      <c r="I17" s="6">
        <v>35581</v>
      </c>
      <c r="J17" s="7" t="str">
        <f>IF(I17&gt;0,"YES","NO")</f>
        <v>YES</v>
      </c>
      <c r="K17" s="7">
        <v>45280</v>
      </c>
      <c r="L17" t="s">
        <v>58</v>
      </c>
    </row>
    <row r="18" spans="1:12">
      <c r="A18" t="s">
        <v>59</v>
      </c>
      <c r="B18" t="s">
        <v>21</v>
      </c>
      <c r="C18" s="4">
        <v>2024</v>
      </c>
      <c r="D18" s="5">
        <v>4.34</v>
      </c>
      <c r="E18" t="s">
        <v>37</v>
      </c>
      <c r="F18" s="4" t="s">
        <v>6</v>
      </c>
      <c r="G18" s="6">
        <v>174118</v>
      </c>
      <c r="H18" s="6" t="str">
        <f>IF(G18&gt;200000,"YES","NO")</f>
        <v>NO</v>
      </c>
      <c r="I18" s="6">
        <v>0</v>
      </c>
      <c r="J18" s="7" t="str">
        <f>IF(I18&gt;0,"YES","NO")</f>
        <v>NO</v>
      </c>
      <c r="L18" t="s">
        <v>60</v>
      </c>
    </row>
    <row r="19" spans="1:12">
      <c r="A19" t="s">
        <v>61</v>
      </c>
      <c r="B19" t="s">
        <v>21</v>
      </c>
      <c r="C19" s="4">
        <v>2025</v>
      </c>
      <c r="D19" s="5">
        <v>2.1</v>
      </c>
      <c r="E19" t="s">
        <v>26</v>
      </c>
      <c r="F19" s="4" t="s">
        <v>6</v>
      </c>
      <c r="G19" s="6">
        <v>171981</v>
      </c>
      <c r="H19" s="6" t="str">
        <f>IF(G19&gt;200000,"YES","NO")</f>
        <v>NO</v>
      </c>
      <c r="I19" s="6">
        <v>0</v>
      </c>
      <c r="J19" s="7" t="str">
        <f>IF(I19&gt;0,"YES","NO")</f>
        <v>NO</v>
      </c>
      <c r="L19" t="s">
        <v>62</v>
      </c>
    </row>
    <row r="20" spans="1:12">
      <c r="A20" t="s">
        <v>63</v>
      </c>
      <c r="B20" t="s">
        <v>25</v>
      </c>
      <c r="C20" s="4">
        <v>2022</v>
      </c>
      <c r="D20" s="5">
        <v>3.83</v>
      </c>
      <c r="E20" t="s">
        <v>32</v>
      </c>
      <c r="F20" s="4" t="s">
        <v>6</v>
      </c>
      <c r="G20" s="6">
        <v>135669</v>
      </c>
      <c r="H20" s="6" t="str">
        <f>IF(G20&gt;200000,"YES","NO")</f>
        <v>NO</v>
      </c>
      <c r="I20" s="6">
        <v>31294</v>
      </c>
      <c r="J20" s="7" t="str">
        <f>IF(I20&gt;0,"YES","NO")</f>
        <v>YES</v>
      </c>
      <c r="K20" s="7">
        <v>45716</v>
      </c>
      <c r="L20" t="s">
        <v>64</v>
      </c>
    </row>
    <row r="21" spans="1:12">
      <c r="A21" t="s">
        <v>65</v>
      </c>
      <c r="B21" t="s">
        <v>21</v>
      </c>
      <c r="C21" s="4">
        <v>2022</v>
      </c>
      <c r="D21" s="5">
        <v>4.61</v>
      </c>
      <c r="E21" t="s">
        <v>22</v>
      </c>
      <c r="F21" s="4" t="s">
        <v>6</v>
      </c>
      <c r="G21" s="6">
        <v>130131</v>
      </c>
      <c r="H21" s="6" t="str">
        <f>IF(G21&gt;200000,"YES","NO")</f>
        <v>NO</v>
      </c>
      <c r="I21" s="6">
        <v>0</v>
      </c>
      <c r="J21" s="7" t="str">
        <f>IF(I21&gt;0,"YES","NO")</f>
        <v>NO</v>
      </c>
      <c r="L21" t="s">
        <v>66</v>
      </c>
    </row>
    <row r="22" spans="1:12">
      <c r="A22" t="s">
        <v>67</v>
      </c>
      <c r="B22" t="s">
        <v>21</v>
      </c>
      <c r="C22" s="4">
        <v>2022</v>
      </c>
      <c r="D22" s="5">
        <v>4.22</v>
      </c>
      <c r="E22" t="s">
        <v>32</v>
      </c>
      <c r="F22" s="4" t="s">
        <v>6</v>
      </c>
      <c r="G22" s="6">
        <v>123158</v>
      </c>
      <c r="H22" s="6" t="str">
        <f>IF(G22&gt;200000,"YES","NO")</f>
        <v>NO</v>
      </c>
      <c r="I22" s="6">
        <v>0</v>
      </c>
      <c r="J22" s="7" t="str">
        <f>IF(I22&gt;0,"YES","NO")</f>
        <v>NO</v>
      </c>
      <c r="L22" t="s">
        <v>68</v>
      </c>
    </row>
    <row r="23" spans="1:12">
      <c r="A23" t="s">
        <v>69</v>
      </c>
      <c r="B23" t="s">
        <v>21</v>
      </c>
      <c r="C23" s="4">
        <v>2025</v>
      </c>
      <c r="D23" s="5">
        <v>3.66</v>
      </c>
      <c r="E23" t="s">
        <v>37</v>
      </c>
      <c r="F23" s="4" t="s">
        <v>6</v>
      </c>
      <c r="G23" s="6">
        <v>108654</v>
      </c>
      <c r="H23" s="6" t="str">
        <f>IF(G23&gt;200000,"YES","NO")</f>
        <v>NO</v>
      </c>
      <c r="I23" s="6">
        <v>0</v>
      </c>
      <c r="J23" s="7" t="str">
        <f>IF(I23&gt;0,"YES","NO")</f>
        <v>NO</v>
      </c>
      <c r="L23" t="s">
        <v>70</v>
      </c>
    </row>
    <row r="24" spans="1:12">
      <c r="A24" t="s">
        <v>71</v>
      </c>
      <c r="B24" t="s">
        <v>21</v>
      </c>
      <c r="C24" s="4">
        <v>2025</v>
      </c>
      <c r="D24" s="5">
        <v>4.42</v>
      </c>
      <c r="E24" t="s">
        <v>32</v>
      </c>
      <c r="F24" s="4" t="s">
        <v>6</v>
      </c>
      <c r="G24" s="6">
        <v>100819</v>
      </c>
      <c r="H24" s="6" t="str">
        <f>IF(G24&gt;200000,"YES","NO")</f>
        <v>NO</v>
      </c>
      <c r="I24" s="6">
        <v>44187</v>
      </c>
      <c r="J24" s="7" t="str">
        <f>IF(I24&gt;0,"YES","NO")</f>
        <v>YES</v>
      </c>
      <c r="K24" s="7">
        <v>45580</v>
      </c>
      <c r="L24" t="s">
        <v>72</v>
      </c>
    </row>
    <row r="25" spans="1:12">
      <c r="A25" t="s">
        <v>73</v>
      </c>
      <c r="B25" t="s">
        <v>21</v>
      </c>
      <c r="C25" s="4">
        <v>2022</v>
      </c>
      <c r="D25" s="5">
        <v>3.37</v>
      </c>
      <c r="E25" t="s">
        <v>29</v>
      </c>
      <c r="F25" s="4" t="s">
        <v>6</v>
      </c>
      <c r="G25" s="6">
        <v>88409</v>
      </c>
      <c r="H25" s="6" t="str">
        <f>IF(G25&gt;200000,"YES","NO")</f>
        <v>NO</v>
      </c>
      <c r="I25" s="6">
        <v>0</v>
      </c>
      <c r="J25" s="7" t="str">
        <f>IF(I25&gt;0,"YES","NO")</f>
        <v>NO</v>
      </c>
      <c r="L25" t="s">
        <v>74</v>
      </c>
    </row>
    <row r="26" spans="1:12">
      <c r="A26" t="s">
        <v>75</v>
      </c>
      <c r="B26" t="s">
        <v>21</v>
      </c>
      <c r="C26" s="4">
        <v>2022</v>
      </c>
      <c r="D26" s="5">
        <v>2.21</v>
      </c>
      <c r="E26" t="s">
        <v>26</v>
      </c>
      <c r="F26" s="4" t="s">
        <v>6</v>
      </c>
      <c r="G26" s="6">
        <v>85337</v>
      </c>
      <c r="H26" s="6" t="str">
        <f>IF(G26&gt;200000,"YES","NO")</f>
        <v>NO</v>
      </c>
      <c r="I26" s="6">
        <v>3058</v>
      </c>
      <c r="J26" s="7" t="str">
        <f>IF(I26&gt;0,"YES","NO")</f>
        <v>YES</v>
      </c>
      <c r="K26" s="7">
        <v>45516</v>
      </c>
      <c r="L26" t="s">
        <v>76</v>
      </c>
    </row>
    <row r="27" spans="1:12">
      <c r="A27" t="s">
        <v>77</v>
      </c>
      <c r="B27" t="s">
        <v>25</v>
      </c>
      <c r="C27" s="4">
        <v>2025</v>
      </c>
      <c r="D27" s="5">
        <v>3.23</v>
      </c>
      <c r="E27" t="s">
        <v>26</v>
      </c>
      <c r="F27" s="4" t="s">
        <v>6</v>
      </c>
      <c r="G27" s="6">
        <v>81778</v>
      </c>
      <c r="H27" s="6" t="str">
        <f>IF(G27&gt;200000,"YES","NO")</f>
        <v>NO</v>
      </c>
      <c r="I27" s="6">
        <v>27386</v>
      </c>
      <c r="J27" s="7" t="str">
        <f>IF(I27&gt;0,"YES","NO")</f>
        <v>YES</v>
      </c>
      <c r="K27" s="7">
        <v>45382</v>
      </c>
      <c r="L27" t="s">
        <v>78</v>
      </c>
    </row>
    <row r="28" spans="1:12">
      <c r="A28" t="s">
        <v>79</v>
      </c>
      <c r="B28" t="s">
        <v>21</v>
      </c>
      <c r="C28" s="4">
        <v>2025</v>
      </c>
      <c r="D28" s="5">
        <v>3.51</v>
      </c>
      <c r="E28" t="s">
        <v>29</v>
      </c>
      <c r="F28" s="4" t="s">
        <v>6</v>
      </c>
      <c r="G28" s="6">
        <v>79821</v>
      </c>
      <c r="H28" s="6" t="str">
        <f>IF(G28&gt;200000,"YES","NO")</f>
        <v>NO</v>
      </c>
      <c r="I28" s="6">
        <v>0</v>
      </c>
      <c r="J28" s="7" t="str">
        <f>IF(I28&gt;0,"YES","NO")</f>
        <v>NO</v>
      </c>
      <c r="L28" t="s">
        <v>80</v>
      </c>
    </row>
    <row r="29" spans="1:12">
      <c r="A29" t="s">
        <v>81</v>
      </c>
      <c r="B29" t="s">
        <v>21</v>
      </c>
      <c r="C29" s="4">
        <v>2025</v>
      </c>
      <c r="D29" s="5">
        <v>2.66</v>
      </c>
      <c r="E29" t="s">
        <v>29</v>
      </c>
      <c r="F29" s="4" t="s">
        <v>7</v>
      </c>
      <c r="G29" s="6">
        <v>0</v>
      </c>
      <c r="H29" s="6" t="str">
        <f>IF(G29&gt;200000,"YES","NO")</f>
        <v>NO</v>
      </c>
      <c r="I29" s="6">
        <v>0</v>
      </c>
      <c r="J29" s="7" t="str">
        <f>IF(I29&gt;0,"YES","NO")</f>
        <v>NO</v>
      </c>
      <c r="L29" t="s">
        <v>82</v>
      </c>
    </row>
    <row r="30" spans="1:12">
      <c r="A30" t="s">
        <v>83</v>
      </c>
      <c r="B30" t="s">
        <v>25</v>
      </c>
      <c r="C30" s="4">
        <v>2024</v>
      </c>
      <c r="D30" s="5">
        <v>2.83</v>
      </c>
      <c r="E30" t="s">
        <v>32</v>
      </c>
      <c r="F30" s="4" t="s">
        <v>7</v>
      </c>
      <c r="G30" s="6">
        <v>0</v>
      </c>
      <c r="H30" s="6" t="str">
        <f>IF(G30&gt;200000,"YES","NO")</f>
        <v>NO</v>
      </c>
      <c r="I30" s="6">
        <v>0</v>
      </c>
      <c r="J30" s="7" t="str">
        <f>IF(I30&gt;0,"YES","NO")</f>
        <v>NO</v>
      </c>
      <c r="L30" t="s">
        <v>84</v>
      </c>
    </row>
    <row r="31" spans="1:12">
      <c r="A31" t="s">
        <v>85</v>
      </c>
      <c r="B31" t="s">
        <v>25</v>
      </c>
      <c r="C31" s="4">
        <v>2022</v>
      </c>
      <c r="D31" s="5">
        <v>3.08</v>
      </c>
      <c r="E31" t="s">
        <v>22</v>
      </c>
      <c r="F31" s="4" t="s">
        <v>7</v>
      </c>
      <c r="G31" s="6">
        <v>0</v>
      </c>
      <c r="H31" s="6" t="str">
        <f>IF(G31&gt;200000,"YES","NO")</f>
        <v>NO</v>
      </c>
      <c r="I31" s="6">
        <v>3847</v>
      </c>
      <c r="J31" s="7" t="str">
        <f>IF(I31&gt;0,"YES","NO")</f>
        <v>YES</v>
      </c>
      <c r="K31" s="7">
        <v>45618</v>
      </c>
      <c r="L31" t="s">
        <v>86</v>
      </c>
    </row>
    <row r="32" spans="1:12">
      <c r="A32" t="s">
        <v>87</v>
      </c>
      <c r="B32" t="s">
        <v>21</v>
      </c>
      <c r="C32" s="4">
        <v>2025</v>
      </c>
      <c r="D32" s="5">
        <v>2.24</v>
      </c>
      <c r="E32" t="s">
        <v>22</v>
      </c>
      <c r="F32" s="4" t="s">
        <v>7</v>
      </c>
      <c r="G32" s="6">
        <v>0</v>
      </c>
      <c r="H32" s="6" t="str">
        <f>IF(G32&gt;200000,"YES","NO")</f>
        <v>NO</v>
      </c>
      <c r="I32" s="6">
        <v>0</v>
      </c>
      <c r="J32" s="7" t="str">
        <f>IF(I32&gt;0,"YES","NO")</f>
        <v>NO</v>
      </c>
      <c r="L32" t="s">
        <v>88</v>
      </c>
    </row>
    <row r="33" spans="1:12">
      <c r="A33" t="s">
        <v>89</v>
      </c>
      <c r="B33" t="s">
        <v>25</v>
      </c>
      <c r="C33" s="4">
        <v>2024</v>
      </c>
      <c r="D33" s="5">
        <v>2.2</v>
      </c>
      <c r="E33" t="s">
        <v>29</v>
      </c>
      <c r="F33" s="4" t="s">
        <v>7</v>
      </c>
      <c r="G33" s="6">
        <v>0</v>
      </c>
      <c r="H33" s="6" t="str">
        <f>IF(G33&gt;200000,"YES","NO")</f>
        <v>NO</v>
      </c>
      <c r="I33" s="6">
        <v>14934</v>
      </c>
      <c r="J33" s="7" t="str">
        <f>IF(I33&gt;0,"YES","NO")</f>
        <v>YES</v>
      </c>
      <c r="K33" s="7">
        <v>45825</v>
      </c>
      <c r="L33" t="s">
        <v>90</v>
      </c>
    </row>
    <row r="34" spans="1:12">
      <c r="A34" t="s">
        <v>91</v>
      </c>
      <c r="B34" t="s">
        <v>25</v>
      </c>
      <c r="C34" s="4">
        <v>2025</v>
      </c>
      <c r="D34" s="5">
        <v>3.09</v>
      </c>
      <c r="E34" t="s">
        <v>32</v>
      </c>
      <c r="F34" s="4" t="s">
        <v>7</v>
      </c>
      <c r="G34" s="6">
        <v>0</v>
      </c>
      <c r="H34" s="6" t="str">
        <f>IF(G34&gt;200000,"YES","NO")</f>
        <v>NO</v>
      </c>
      <c r="I34" s="6">
        <v>0</v>
      </c>
      <c r="J34" s="7" t="str">
        <f>IF(I34&gt;0,"YES","NO")</f>
        <v>NO</v>
      </c>
      <c r="L34" t="s">
        <v>92</v>
      </c>
    </row>
    <row r="35" spans="1:12">
      <c r="A35" t="s">
        <v>93</v>
      </c>
      <c r="B35" t="s">
        <v>25</v>
      </c>
      <c r="C35" s="4">
        <v>2022</v>
      </c>
      <c r="D35" s="5">
        <v>4.04</v>
      </c>
      <c r="E35" t="s">
        <v>26</v>
      </c>
      <c r="F35" s="4" t="s">
        <v>7</v>
      </c>
      <c r="G35" s="6">
        <v>0</v>
      </c>
      <c r="H35" s="6" t="str">
        <f>IF(G35&gt;200000,"YES","NO")</f>
        <v>NO</v>
      </c>
      <c r="I35" s="6">
        <v>43006</v>
      </c>
      <c r="J35" s="7" t="str">
        <f>IF(I35&gt;0,"YES","NO")</f>
        <v>YES</v>
      </c>
      <c r="K35" s="7">
        <v>45266</v>
      </c>
      <c r="L35" t="s">
        <v>94</v>
      </c>
    </row>
    <row r="36" spans="1:12">
      <c r="A36" t="s">
        <v>95</v>
      </c>
      <c r="B36" t="s">
        <v>21</v>
      </c>
      <c r="C36" s="4">
        <v>2024</v>
      </c>
      <c r="D36" s="5">
        <v>3.47</v>
      </c>
      <c r="E36" t="s">
        <v>26</v>
      </c>
      <c r="F36" s="4" t="s">
        <v>7</v>
      </c>
      <c r="G36" s="6">
        <v>0</v>
      </c>
      <c r="H36" s="6" t="str">
        <f>IF(G36&gt;200000,"YES","NO")</f>
        <v>NO</v>
      </c>
      <c r="I36" s="6">
        <v>0</v>
      </c>
      <c r="J36" s="7" t="str">
        <f>IF(I36&gt;0,"YES","NO")</f>
        <v>NO</v>
      </c>
      <c r="L36" t="s">
        <v>96</v>
      </c>
    </row>
    <row r="37" spans="1:12">
      <c r="A37" t="s">
        <v>97</v>
      </c>
      <c r="B37" t="s">
        <v>21</v>
      </c>
      <c r="C37" s="4">
        <v>2023</v>
      </c>
      <c r="D37" s="5">
        <v>4.14</v>
      </c>
      <c r="E37" t="s">
        <v>37</v>
      </c>
      <c r="F37" s="4" t="s">
        <v>7</v>
      </c>
      <c r="G37" s="6">
        <v>0</v>
      </c>
      <c r="H37" s="6" t="str">
        <f>IF(G37&gt;200000,"YES","NO")</f>
        <v>NO</v>
      </c>
      <c r="I37" s="6">
        <v>29711</v>
      </c>
      <c r="J37" s="7" t="str">
        <f>IF(I37&gt;0,"YES","NO")</f>
        <v>YES</v>
      </c>
      <c r="K37" s="7">
        <v>45149</v>
      </c>
      <c r="L37" t="s">
        <v>98</v>
      </c>
    </row>
    <row r="38" spans="1:12">
      <c r="A38" t="s">
        <v>99</v>
      </c>
      <c r="B38" t="s">
        <v>21</v>
      </c>
      <c r="C38" s="4">
        <v>2023</v>
      </c>
      <c r="D38" s="5">
        <v>2.57</v>
      </c>
      <c r="E38" t="s">
        <v>29</v>
      </c>
      <c r="F38" s="4" t="s">
        <v>7</v>
      </c>
      <c r="G38" s="6">
        <v>0</v>
      </c>
      <c r="H38" s="6" t="str">
        <f>IF(G38&gt;200000,"YES","NO")</f>
        <v>NO</v>
      </c>
      <c r="I38" s="6">
        <v>10186</v>
      </c>
      <c r="J38" s="7" t="str">
        <f>IF(I38&gt;0,"YES","NO")</f>
        <v>YES</v>
      </c>
      <c r="K38" s="7">
        <v>45575</v>
      </c>
      <c r="L38" t="s">
        <v>100</v>
      </c>
    </row>
    <row r="39" spans="1:12">
      <c r="A39" t="s">
        <v>101</v>
      </c>
      <c r="B39" t="s">
        <v>21</v>
      </c>
      <c r="C39" s="4">
        <v>2024</v>
      </c>
      <c r="D39" s="5">
        <v>3.39</v>
      </c>
      <c r="E39" t="s">
        <v>26</v>
      </c>
      <c r="F39" s="4" t="s">
        <v>7</v>
      </c>
      <c r="G39" s="6">
        <v>0</v>
      </c>
      <c r="H39" s="6" t="str">
        <f>IF(G39&gt;200000,"YES","NO")</f>
        <v>NO</v>
      </c>
      <c r="I39" s="6">
        <v>0</v>
      </c>
      <c r="J39" s="7" t="str">
        <f>IF(I39&gt;0,"YES","NO")</f>
        <v>NO</v>
      </c>
      <c r="L39" t="s">
        <v>102</v>
      </c>
    </row>
    <row r="40" spans="1:12">
      <c r="A40" t="s">
        <v>103</v>
      </c>
      <c r="B40" t="s">
        <v>21</v>
      </c>
      <c r="C40" s="4">
        <v>2025</v>
      </c>
      <c r="D40" s="5">
        <v>4.71</v>
      </c>
      <c r="E40" t="s">
        <v>32</v>
      </c>
      <c r="F40" s="4" t="s">
        <v>7</v>
      </c>
      <c r="G40" s="6">
        <v>0</v>
      </c>
      <c r="H40" s="6" t="str">
        <f>IF(G40&gt;200000,"YES","NO")</f>
        <v>NO</v>
      </c>
      <c r="I40" s="6">
        <v>1141</v>
      </c>
      <c r="J40" s="7" t="str">
        <f>IF(I40&gt;0,"YES","NO")</f>
        <v>YES</v>
      </c>
      <c r="K40" s="7">
        <v>45301</v>
      </c>
      <c r="L40" t="s">
        <v>104</v>
      </c>
    </row>
    <row r="41" spans="1:12">
      <c r="A41" t="s">
        <v>105</v>
      </c>
      <c r="B41" t="s">
        <v>25</v>
      </c>
      <c r="C41" s="4">
        <v>2025</v>
      </c>
      <c r="D41" s="5">
        <v>2.86</v>
      </c>
      <c r="E41" t="s">
        <v>29</v>
      </c>
      <c r="F41" s="4" t="s">
        <v>7</v>
      </c>
      <c r="G41" s="6">
        <v>0</v>
      </c>
      <c r="H41" s="6" t="str">
        <f>IF(G41&gt;200000,"YES","NO")</f>
        <v>NO</v>
      </c>
      <c r="I41" s="6">
        <v>0</v>
      </c>
      <c r="J41" s="7" t="str">
        <f>IF(I41&gt;0,"YES","NO")</f>
        <v>NO</v>
      </c>
      <c r="L41" t="s">
        <v>106</v>
      </c>
    </row>
    <row r="42" spans="1:12">
      <c r="A42" t="s">
        <v>107</v>
      </c>
      <c r="B42" t="s">
        <v>21</v>
      </c>
      <c r="C42" s="4">
        <v>2022</v>
      </c>
      <c r="D42" s="5">
        <v>3.79</v>
      </c>
      <c r="E42" t="s">
        <v>32</v>
      </c>
      <c r="F42" s="4" t="s">
        <v>7</v>
      </c>
      <c r="G42" s="6">
        <v>0</v>
      </c>
      <c r="H42" s="6" t="str">
        <f>IF(G42&gt;200000,"YES","NO")</f>
        <v>NO</v>
      </c>
      <c r="I42" s="6">
        <v>0</v>
      </c>
      <c r="J42" s="7" t="str">
        <f>IF(I42&gt;0,"YES","NO")</f>
        <v>NO</v>
      </c>
      <c r="L42" t="s">
        <v>108</v>
      </c>
    </row>
    <row r="43" spans="1:12">
      <c r="A43" t="s">
        <v>109</v>
      </c>
      <c r="B43" t="s">
        <v>21</v>
      </c>
      <c r="C43" s="4">
        <v>2022</v>
      </c>
      <c r="D43" s="5">
        <v>3.26</v>
      </c>
      <c r="E43" t="s">
        <v>29</v>
      </c>
      <c r="F43" s="4" t="s">
        <v>7</v>
      </c>
      <c r="G43" s="6">
        <v>0</v>
      </c>
      <c r="H43" s="6" t="str">
        <f>IF(G43&gt;200000,"YES","NO")</f>
        <v>NO</v>
      </c>
      <c r="I43" s="6">
        <v>0</v>
      </c>
      <c r="J43" s="7" t="str">
        <f>IF(I43&gt;0,"YES","NO")</f>
        <v>NO</v>
      </c>
      <c r="L43" t="s">
        <v>110</v>
      </c>
    </row>
    <row r="44" spans="1:12">
      <c r="A44" t="s">
        <v>111</v>
      </c>
      <c r="B44" t="s">
        <v>25</v>
      </c>
      <c r="C44" s="4">
        <v>2023</v>
      </c>
      <c r="D44" s="5">
        <v>2.8</v>
      </c>
      <c r="E44" t="s">
        <v>32</v>
      </c>
      <c r="F44" s="4" t="s">
        <v>7</v>
      </c>
      <c r="G44" s="6">
        <v>0</v>
      </c>
      <c r="H44" s="6" t="str">
        <f>IF(G44&gt;200000,"YES","NO")</f>
        <v>NO</v>
      </c>
      <c r="I44" s="6">
        <v>30964</v>
      </c>
      <c r="J44" s="7" t="str">
        <f>IF(I44&gt;0,"YES","NO")</f>
        <v>YES</v>
      </c>
      <c r="K44" s="7">
        <v>45503</v>
      </c>
      <c r="L44" t="s">
        <v>112</v>
      </c>
    </row>
    <row r="45" spans="1:12">
      <c r="A45" t="s">
        <v>113</v>
      </c>
      <c r="B45" t="s">
        <v>25</v>
      </c>
      <c r="C45" s="4">
        <v>2023</v>
      </c>
      <c r="D45" s="5">
        <v>4.06</v>
      </c>
      <c r="E45" t="s">
        <v>22</v>
      </c>
      <c r="F45" s="4" t="s">
        <v>7</v>
      </c>
      <c r="G45" s="6">
        <v>0</v>
      </c>
      <c r="H45" s="6" t="str">
        <f>IF(G45&gt;200000,"YES","NO")</f>
        <v>NO</v>
      </c>
      <c r="I45" s="6">
        <v>0</v>
      </c>
      <c r="J45" s="7" t="str">
        <f>IF(I45&gt;0,"YES","NO")</f>
        <v>NO</v>
      </c>
      <c r="L45" t="s">
        <v>114</v>
      </c>
    </row>
    <row r="46" spans="1:12">
      <c r="A46" t="s">
        <v>115</v>
      </c>
      <c r="B46" t="s">
        <v>21</v>
      </c>
      <c r="C46" s="4">
        <v>2024</v>
      </c>
      <c r="D46" s="5">
        <v>3.75</v>
      </c>
      <c r="E46" t="s">
        <v>32</v>
      </c>
      <c r="F46" s="4" t="s">
        <v>7</v>
      </c>
      <c r="G46" s="6">
        <v>0</v>
      </c>
      <c r="H46" s="6" t="str">
        <f>IF(G46&gt;200000,"YES","NO")</f>
        <v>NO</v>
      </c>
      <c r="I46" s="6">
        <v>0</v>
      </c>
      <c r="J46" s="7" t="str">
        <f>IF(I46&gt;0,"YES","NO")</f>
        <v>NO</v>
      </c>
      <c r="L46" t="s">
        <v>116</v>
      </c>
    </row>
    <row r="47" spans="1:12">
      <c r="A47" t="s">
        <v>117</v>
      </c>
      <c r="B47" t="s">
        <v>25</v>
      </c>
      <c r="C47" s="4">
        <v>2024</v>
      </c>
      <c r="D47" s="5">
        <v>4.7</v>
      </c>
      <c r="E47" t="s">
        <v>26</v>
      </c>
      <c r="F47" s="4" t="s">
        <v>7</v>
      </c>
      <c r="G47" s="6">
        <v>0</v>
      </c>
      <c r="H47" s="6" t="str">
        <f>IF(G47&gt;200000,"YES","NO")</f>
        <v>NO</v>
      </c>
      <c r="I47" s="6">
        <v>0</v>
      </c>
      <c r="J47" s="7" t="str">
        <f>IF(I47&gt;0,"YES","NO")</f>
        <v>NO</v>
      </c>
      <c r="L47" t="s">
        <v>118</v>
      </c>
    </row>
    <row r="48" spans="1:12">
      <c r="A48" t="s">
        <v>119</v>
      </c>
      <c r="B48" t="s">
        <v>25</v>
      </c>
      <c r="C48" s="4">
        <v>2022</v>
      </c>
      <c r="D48" s="5">
        <v>2.54</v>
      </c>
      <c r="E48" t="s">
        <v>22</v>
      </c>
      <c r="F48" s="4" t="s">
        <v>7</v>
      </c>
      <c r="G48" s="6">
        <v>0</v>
      </c>
      <c r="H48" s="6" t="str">
        <f>IF(G48&gt;200000,"YES","NO")</f>
        <v>NO</v>
      </c>
      <c r="I48" s="6">
        <v>0</v>
      </c>
      <c r="J48" s="7" t="str">
        <f>IF(I48&gt;0,"YES","NO")</f>
        <v>NO</v>
      </c>
      <c r="L48" t="s">
        <v>120</v>
      </c>
    </row>
    <row r="49" spans="1:12">
      <c r="A49" t="s">
        <v>121</v>
      </c>
      <c r="B49" t="s">
        <v>25</v>
      </c>
      <c r="C49" s="4">
        <v>2023</v>
      </c>
      <c r="D49" s="5">
        <v>4.36</v>
      </c>
      <c r="E49" t="s">
        <v>26</v>
      </c>
      <c r="F49" s="4" t="s">
        <v>7</v>
      </c>
      <c r="G49" s="6">
        <v>0</v>
      </c>
      <c r="H49" s="6" t="str">
        <f>IF(G49&gt;200000,"YES","NO")</f>
        <v>NO</v>
      </c>
      <c r="I49" s="6">
        <v>3537</v>
      </c>
      <c r="J49" s="7" t="str">
        <f>IF(I49&gt;0,"YES","NO")</f>
        <v>YES</v>
      </c>
      <c r="K49" s="7">
        <v>45330</v>
      </c>
      <c r="L49" t="s">
        <v>122</v>
      </c>
    </row>
    <row r="50" spans="1:12">
      <c r="A50" t="s">
        <v>123</v>
      </c>
      <c r="B50" t="s">
        <v>21</v>
      </c>
      <c r="C50" s="4">
        <v>2023</v>
      </c>
      <c r="D50" s="5">
        <v>4.45</v>
      </c>
      <c r="E50" t="s">
        <v>37</v>
      </c>
      <c r="F50" s="4" t="s">
        <v>7</v>
      </c>
      <c r="G50" s="6">
        <v>0</v>
      </c>
      <c r="H50" s="6" t="str">
        <f>IF(G50&gt;200000,"YES","NO")</f>
        <v>NO</v>
      </c>
      <c r="I50" s="6">
        <v>0</v>
      </c>
      <c r="J50" s="7" t="str">
        <f>IF(I50&gt;0,"YES","NO")</f>
        <v>NO</v>
      </c>
      <c r="L50" t="s">
        <v>124</v>
      </c>
    </row>
    <row r="51" spans="1:12">
      <c r="A51" t="s">
        <v>125</v>
      </c>
      <c r="B51" t="s">
        <v>21</v>
      </c>
      <c r="C51" s="4">
        <v>2022</v>
      </c>
      <c r="D51" s="5">
        <v>3.98</v>
      </c>
      <c r="E51" t="s">
        <v>37</v>
      </c>
      <c r="F51" s="4" t="s">
        <v>7</v>
      </c>
      <c r="G51" s="6">
        <v>0</v>
      </c>
      <c r="H51" s="6" t="str">
        <f>IF(G51&gt;200000,"YES","NO")</f>
        <v>NO</v>
      </c>
      <c r="I51" s="6">
        <v>0</v>
      </c>
      <c r="J51" s="7" t="str">
        <f>IF(I51&gt;0,"YES","NO")</f>
        <v>NO</v>
      </c>
      <c r="L51" t="s">
        <v>126</v>
      </c>
    </row>
  </sheetData>
  <sortState ref="A3:M52">
    <sortCondition ref="G3" descending="1"/>
  </sortState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2:E15"/>
  <sheetViews>
    <sheetView workbookViewId="0">
      <selection activeCell="A15" sqref="A15:C15"/>
    </sheetView>
  </sheetViews>
  <sheetFormatPr defaultColWidth="8.88888888888889" defaultRowHeight="14.4" outlineLevelCol="4"/>
  <cols>
    <col min="1" max="1" width="12.4444444444444"/>
  </cols>
  <sheetData>
    <row r="2" spans="1:5">
      <c r="A2" s="8" t="s">
        <v>127</v>
      </c>
      <c r="B2" s="8"/>
      <c r="C2" s="8"/>
      <c r="D2" s="8"/>
      <c r="E2" s="8"/>
    </row>
    <row r="3" spans="1:5">
      <c r="A3" s="9">
        <f>SUM('FINAL PROECT'!I2:I51)</f>
        <v>483313</v>
      </c>
      <c r="B3" s="9"/>
      <c r="C3" s="9"/>
      <c r="D3" s="9"/>
      <c r="E3" s="9"/>
    </row>
    <row r="5" spans="1:5">
      <c r="A5" s="8" t="s">
        <v>128</v>
      </c>
      <c r="B5" s="8"/>
      <c r="C5" s="8"/>
      <c r="D5" s="8"/>
    </row>
    <row r="6" spans="1:5">
      <c r="A6" s="10">
        <f>AVERAGE('FINAL PROECT'!D2:D51)</f>
        <v>3.5866</v>
      </c>
      <c r="B6" s="10"/>
      <c r="C6" s="10"/>
    </row>
    <row r="8" spans="1:5">
      <c r="A8" s="8" t="s">
        <v>129</v>
      </c>
      <c r="B8" s="8"/>
      <c r="C8" s="8"/>
      <c r="D8" s="8"/>
      <c r="E8" s="8"/>
    </row>
    <row r="9" spans="1:5">
      <c r="A9" s="11">
        <f>COUNTIF('FINAL PROECT'!F2:F51,"Employed")</f>
        <v>27</v>
      </c>
      <c r="B9" s="11"/>
      <c r="C9" s="11"/>
      <c r="D9" s="11"/>
      <c r="E9" s="11"/>
    </row>
    <row r="11" spans="1:5">
      <c r="A11" s="8" t="s">
        <v>130</v>
      </c>
      <c r="B11" s="8"/>
      <c r="C11" s="8"/>
      <c r="D11" s="8"/>
      <c r="E11" s="8"/>
    </row>
    <row r="12" spans="1:5">
      <c r="A12" s="12">
        <f>MAX('FINAL PROECT'!G2:G51)</f>
        <v>498432</v>
      </c>
      <c r="B12" s="12"/>
      <c r="C12" s="12"/>
      <c r="D12" s="12"/>
    </row>
    <row r="14" spans="1:5">
      <c r="A14" s="8" t="s">
        <v>131</v>
      </c>
      <c r="B14" s="8"/>
      <c r="C14" s="8"/>
      <c r="D14" s="8"/>
    </row>
    <row r="15" spans="1:5">
      <c r="A15" s="9">
        <f>_xlfn.MINIFS('FINAL PROECT'!G2:G51,'FINAL PROECT'!F2:F51,"Employed")</f>
        <v>79821</v>
      </c>
      <c r="B15" s="9"/>
      <c r="C15" s="9"/>
    </row>
  </sheetData>
  <mergeCells count="10">
    <mergeCell ref="A2:E2"/>
    <mergeCell ref="A3:E3"/>
    <mergeCell ref="A5:D5"/>
    <mergeCell ref="A6:C6"/>
    <mergeCell ref="A8:E8"/>
    <mergeCell ref="A9:E9"/>
    <mergeCell ref="A11:E11"/>
    <mergeCell ref="A12:D12"/>
    <mergeCell ref="A14:D14"/>
    <mergeCell ref="A15:C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7BE"/>
  </sheetPr>
  <dimension ref="A1:L11"/>
  <sheetViews>
    <sheetView workbookViewId="0">
      <selection activeCell="A1" sqref="A1"/>
    </sheetView>
  </sheetViews>
  <sheetFormatPr defaultColWidth="8.88888888888889" defaultRowHeight="14.4"/>
  <cols>
    <col min="1" max="1" width="15.2222222222222" customWidth="1"/>
    <col min="3" max="3" width="18.6666666666667" customWidth="1"/>
    <col min="5" max="5" width="11.7777777777778" customWidth="1"/>
    <col min="6" max="6" width="21.8888888888889" customWidth="1"/>
    <col min="7" max="7" width="17.5555555555556" customWidth="1"/>
    <col min="8" max="8" width="14.4444444444444" customWidth="1"/>
    <col min="9" max="9" width="11" customWidth="1"/>
    <col min="10" max="10" width="8" customWidth="1"/>
    <col min="11" max="11" width="19.4444444444444" customWidth="1"/>
    <col min="12" max="12" width="64.5555555555556" customWidth="1"/>
  </cols>
  <sheetData>
    <row r="1" spans="1:12">
      <c r="A1" s="1" t="s">
        <v>132</v>
      </c>
      <c r="B1" s="2" t="s">
        <v>133</v>
      </c>
      <c r="C1" s="2" t="s">
        <v>134</v>
      </c>
      <c r="D1" s="2" t="s">
        <v>12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3" t="s">
        <v>142</v>
      </c>
    </row>
    <row r="2" spans="1:12">
      <c r="A2" t="s">
        <v>83</v>
      </c>
      <c r="B2" t="s">
        <v>25</v>
      </c>
      <c r="C2" s="4">
        <v>2024</v>
      </c>
      <c r="D2" s="5">
        <v>2.83</v>
      </c>
      <c r="E2" t="s">
        <v>32</v>
      </c>
      <c r="F2" s="4" t="s">
        <v>7</v>
      </c>
      <c r="G2" s="6">
        <v>0</v>
      </c>
      <c r="H2" s="6" t="s">
        <v>143</v>
      </c>
      <c r="I2" s="6">
        <v>0</v>
      </c>
      <c r="J2" s="7" t="s">
        <v>143</v>
      </c>
      <c r="K2" s="7"/>
      <c r="L2" t="s">
        <v>84</v>
      </c>
    </row>
    <row r="3" spans="1:12">
      <c r="A3" t="s">
        <v>49</v>
      </c>
      <c r="B3" t="s">
        <v>25</v>
      </c>
      <c r="C3" s="4">
        <v>2024</v>
      </c>
      <c r="D3" s="5">
        <v>3.36</v>
      </c>
      <c r="E3" t="s">
        <v>22</v>
      </c>
      <c r="F3" s="4" t="s">
        <v>6</v>
      </c>
      <c r="G3" s="6">
        <v>244081</v>
      </c>
      <c r="H3" s="6" t="s">
        <v>144</v>
      </c>
      <c r="I3" s="6">
        <v>0</v>
      </c>
      <c r="J3" s="7" t="s">
        <v>143</v>
      </c>
      <c r="K3" s="7"/>
      <c r="L3" t="s">
        <v>50</v>
      </c>
    </row>
    <row r="4" spans="1:12">
      <c r="A4" t="s">
        <v>89</v>
      </c>
      <c r="B4" t="s">
        <v>25</v>
      </c>
      <c r="C4" s="4">
        <v>2024</v>
      </c>
      <c r="D4" s="5">
        <v>2.2</v>
      </c>
      <c r="E4" t="s">
        <v>29</v>
      </c>
      <c r="F4" s="4" t="s">
        <v>7</v>
      </c>
      <c r="G4" s="6">
        <v>0</v>
      </c>
      <c r="H4" s="6" t="s">
        <v>143</v>
      </c>
      <c r="I4" s="6">
        <v>14934</v>
      </c>
      <c r="J4" s="7" t="s">
        <v>144</v>
      </c>
      <c r="K4" s="7">
        <v>45825</v>
      </c>
      <c r="L4" t="s">
        <v>90</v>
      </c>
    </row>
    <row r="5" spans="1:12">
      <c r="A5" t="s">
        <v>36</v>
      </c>
      <c r="B5" t="s">
        <v>21</v>
      </c>
      <c r="C5" s="4">
        <v>2024</v>
      </c>
      <c r="D5" s="5">
        <v>3.3</v>
      </c>
      <c r="E5" t="s">
        <v>37</v>
      </c>
      <c r="F5" s="4" t="s">
        <v>6</v>
      </c>
      <c r="G5" s="6">
        <v>428584</v>
      </c>
      <c r="H5" s="6" t="s">
        <v>144</v>
      </c>
      <c r="I5" s="6">
        <v>48164</v>
      </c>
      <c r="J5" s="7" t="s">
        <v>144</v>
      </c>
      <c r="K5" s="7">
        <v>45659</v>
      </c>
      <c r="L5" t="s">
        <v>38</v>
      </c>
    </row>
    <row r="6" spans="1:12">
      <c r="A6" t="s">
        <v>95</v>
      </c>
      <c r="B6" t="s">
        <v>21</v>
      </c>
      <c r="C6" s="4">
        <v>2024</v>
      </c>
      <c r="D6" s="5">
        <v>3.47</v>
      </c>
      <c r="E6" t="s">
        <v>26</v>
      </c>
      <c r="F6" s="4" t="s">
        <v>7</v>
      </c>
      <c r="G6" s="6">
        <v>0</v>
      </c>
      <c r="H6" s="6" t="s">
        <v>143</v>
      </c>
      <c r="I6" s="6">
        <v>0</v>
      </c>
      <c r="J6" s="7" t="s">
        <v>143</v>
      </c>
      <c r="K6" s="7"/>
      <c r="L6" t="s">
        <v>96</v>
      </c>
    </row>
    <row r="7" spans="1:12">
      <c r="A7" t="s">
        <v>101</v>
      </c>
      <c r="B7" t="s">
        <v>21</v>
      </c>
      <c r="C7" s="4">
        <v>2024</v>
      </c>
      <c r="D7" s="5">
        <v>3.39</v>
      </c>
      <c r="E7" t="s">
        <v>26</v>
      </c>
      <c r="F7" s="4" t="s">
        <v>7</v>
      </c>
      <c r="G7" s="6">
        <v>0</v>
      </c>
      <c r="H7" s="6" t="s">
        <v>143</v>
      </c>
      <c r="I7" s="6">
        <v>0</v>
      </c>
      <c r="J7" s="7" t="s">
        <v>143</v>
      </c>
      <c r="K7" s="7"/>
      <c r="L7" t="s">
        <v>102</v>
      </c>
    </row>
    <row r="8" spans="1:12">
      <c r="A8" t="s">
        <v>39</v>
      </c>
      <c r="B8" t="s">
        <v>25</v>
      </c>
      <c r="C8" s="4">
        <v>2024</v>
      </c>
      <c r="D8" s="5">
        <v>3.84</v>
      </c>
      <c r="E8" t="s">
        <v>29</v>
      </c>
      <c r="F8" s="4" t="s">
        <v>6</v>
      </c>
      <c r="G8" s="6">
        <v>400152</v>
      </c>
      <c r="H8" s="6" t="s">
        <v>144</v>
      </c>
      <c r="I8" s="6">
        <v>37346</v>
      </c>
      <c r="J8" s="7" t="s">
        <v>144</v>
      </c>
      <c r="K8" s="7">
        <v>45535</v>
      </c>
      <c r="L8" t="s">
        <v>40</v>
      </c>
    </row>
    <row r="9" spans="1:12">
      <c r="A9" t="s">
        <v>115</v>
      </c>
      <c r="B9" t="s">
        <v>21</v>
      </c>
      <c r="C9" s="4">
        <v>2024</v>
      </c>
      <c r="D9" s="5">
        <v>3.75</v>
      </c>
      <c r="E9" t="s">
        <v>32</v>
      </c>
      <c r="F9" s="4" t="s">
        <v>7</v>
      </c>
      <c r="G9" s="6">
        <v>0</v>
      </c>
      <c r="H9" s="6" t="s">
        <v>143</v>
      </c>
      <c r="I9" s="6">
        <v>0</v>
      </c>
      <c r="J9" s="7" t="s">
        <v>143</v>
      </c>
      <c r="K9" s="7"/>
      <c r="L9" t="s">
        <v>116</v>
      </c>
    </row>
    <row r="10" spans="1:12">
      <c r="A10" t="s">
        <v>117</v>
      </c>
      <c r="B10" t="s">
        <v>25</v>
      </c>
      <c r="C10" s="4">
        <v>2024</v>
      </c>
      <c r="D10" s="5">
        <v>4.7</v>
      </c>
      <c r="E10" t="s">
        <v>26</v>
      </c>
      <c r="F10" s="4" t="s">
        <v>7</v>
      </c>
      <c r="G10" s="6">
        <v>0</v>
      </c>
      <c r="H10" s="6" t="s">
        <v>143</v>
      </c>
      <c r="I10" s="6">
        <v>0</v>
      </c>
      <c r="J10" s="7" t="s">
        <v>143</v>
      </c>
      <c r="K10" s="7"/>
      <c r="L10" t="s">
        <v>118</v>
      </c>
    </row>
    <row r="11" spans="1:12">
      <c r="A11" t="s">
        <v>59</v>
      </c>
      <c r="B11" t="s">
        <v>21</v>
      </c>
      <c r="C11" s="4">
        <v>2024</v>
      </c>
      <c r="D11" s="5">
        <v>4.34</v>
      </c>
      <c r="E11" t="s">
        <v>37</v>
      </c>
      <c r="F11" s="4" t="s">
        <v>6</v>
      </c>
      <c r="G11" s="6">
        <v>174118</v>
      </c>
      <c r="H11" s="6" t="s">
        <v>143</v>
      </c>
      <c r="I11" s="6">
        <v>0</v>
      </c>
      <c r="J11" s="7" t="s">
        <v>143</v>
      </c>
      <c r="K11" s="7"/>
      <c r="L1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TOTAL DONATION PER YEAR</vt:lpstr>
      <vt:lpstr>CGPA AND EMPLOYMENT CHART</vt:lpstr>
      <vt:lpstr>VISUALS</vt:lpstr>
      <vt:lpstr>UNEMPLOYED AND EMPLOYED</vt:lpstr>
      <vt:lpstr>FINAL PROECT</vt:lpstr>
      <vt:lpstr>ANALYSIS</vt:lpstr>
      <vt:lpstr>2024 GRADUATING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 Voice Tech</cp:lastModifiedBy>
  <dcterms:created xsi:type="dcterms:W3CDTF">2025-07-31T15:31:00Z</dcterms:created>
  <dcterms:modified xsi:type="dcterms:W3CDTF">2026-07-02T11:08:35Z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D7BBCAD3833A4240ACB7AA73B1C1DE6E_12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