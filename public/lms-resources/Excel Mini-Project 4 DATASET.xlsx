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Applicants" sheetId="1" r:id="rId1"/>
    <sheet name="Lookup" sheetId="2" r:id="rId2"/>
    <sheet name="DATA SUMMARY" sheetId="3" r:id="rId3"/>
    <sheet name="QUARTILE ANALYSIS" sheetId="4" r:id="rId4"/>
    <sheet name="PRIVATE" sheetId="5" r:id="rId5"/>
  </sheets>
  <definedNames>
    <definedName name="_xlnm._FilterDatabase" localSheetId="0" hidden="1">Applicants!$H$2:$H$52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<sst xmlns="http://schemas.openxmlformats.org/spreadsheetml/2006/main" count="280" uniqueCount="189">
  <si>
    <t>0vTech 2026 Scholarship Screening</t>
  </si>
  <si>
    <t>S/N</t>
  </si>
  <si>
    <t>Full Name</t>
  </si>
  <si>
    <t>Email</t>
  </si>
  <si>
    <t>Gender</t>
  </si>
  <si>
    <t>Score</t>
  </si>
  <si>
    <t>Interview Date</t>
  </si>
  <si>
    <t>ELIGIBLE</t>
  </si>
  <si>
    <t>TOP CHOICE APPLICANT</t>
  </si>
  <si>
    <t>Phone Number</t>
  </si>
  <si>
    <t>Grace Daniels</t>
  </si>
  <si>
    <t>grace.daniels0@example.com</t>
  </si>
  <si>
    <t>Female</t>
  </si>
  <si>
    <t>2025-07-22</t>
  </si>
  <si>
    <t>08071686403</t>
  </si>
  <si>
    <t>Chidi Johnson</t>
  </si>
  <si>
    <t>chidi.johnson1@example.com</t>
  </si>
  <si>
    <t>2025-08-08</t>
  </si>
  <si>
    <t>08084408478</t>
  </si>
  <si>
    <t>John Smith</t>
  </si>
  <si>
    <t>john.smith2@example.com</t>
  </si>
  <si>
    <t>2025-07-29</t>
  </si>
  <si>
    <t>08099485489</t>
  </si>
  <si>
    <t>Tunde Daniels</t>
  </si>
  <si>
    <t>tunde.daniels3@example.com</t>
  </si>
  <si>
    <t>2025-08-03</t>
  </si>
  <si>
    <t>08013334266</t>
  </si>
  <si>
    <t>Chidi Yusuf</t>
  </si>
  <si>
    <t>chidi.yusuf4@example.com</t>
  </si>
  <si>
    <t>2025-07-30</t>
  </si>
  <si>
    <t>08021965732</t>
  </si>
  <si>
    <t>John Ibrahim</t>
  </si>
  <si>
    <t>john.ibrahim5@example.com</t>
  </si>
  <si>
    <t>Male</t>
  </si>
  <si>
    <t>2025-07-19</t>
  </si>
  <si>
    <t>08051613900</t>
  </si>
  <si>
    <t>Ada Ibrahim</t>
  </si>
  <si>
    <t>ada.ibrahim6@example.com</t>
  </si>
  <si>
    <t>08059601357</t>
  </si>
  <si>
    <t>James Okoro</t>
  </si>
  <si>
    <t>james.okoro7@example.com</t>
  </si>
  <si>
    <t>2025-07-27</t>
  </si>
  <si>
    <t>08089346775</t>
  </si>
  <si>
    <t>grace.daniels8@example.com</t>
  </si>
  <si>
    <t>2025-08-01</t>
  </si>
  <si>
    <t>08084741787</t>
  </si>
  <si>
    <t>John Ade</t>
  </si>
  <si>
    <t>john.ade9@example.com</t>
  </si>
  <si>
    <t>08088388351</t>
  </si>
  <si>
    <t>Aisha Yusuf</t>
  </si>
  <si>
    <t>aisha.yusuf10@example.com</t>
  </si>
  <si>
    <t>2025-07-16</t>
  </si>
  <si>
    <t>08043374740</t>
  </si>
  <si>
    <t>Tunde Okoro</t>
  </si>
  <si>
    <t>tunde.okoro11@example.com</t>
  </si>
  <si>
    <t>2025-07-28</t>
  </si>
  <si>
    <t>08035254039</t>
  </si>
  <si>
    <t>Tunde Smith</t>
  </si>
  <si>
    <t>tunde.smith12@example.com</t>
  </si>
  <si>
    <t>08078726931</t>
  </si>
  <si>
    <t>Emeka Ali</t>
  </si>
  <si>
    <t>emeka.ali13@example.com</t>
  </si>
  <si>
    <t>08026109090</t>
  </si>
  <si>
    <t>Zainab Nwankwo</t>
  </si>
  <si>
    <t>zainab.nwankwo14@example.com</t>
  </si>
  <si>
    <t>2025-07-18</t>
  </si>
  <si>
    <t>08042829455</t>
  </si>
  <si>
    <t>Chidi Okoro</t>
  </si>
  <si>
    <t>chidi.okoro15@example.com</t>
  </si>
  <si>
    <t>2025-07-23</t>
  </si>
  <si>
    <t>08039263752</t>
  </si>
  <si>
    <t>chidi.okoro16@example.com</t>
  </si>
  <si>
    <t>2025-08-04</t>
  </si>
  <si>
    <t>08078697275</t>
  </si>
  <si>
    <t>john.ibrahim17@example.com</t>
  </si>
  <si>
    <t>2025-07-24</t>
  </si>
  <si>
    <t>08081138408</t>
  </si>
  <si>
    <t>Grace Nwankwo</t>
  </si>
  <si>
    <t>grace.nwankwo18@example.com</t>
  </si>
  <si>
    <t>2025-07-26</t>
  </si>
  <si>
    <t>08084577731</t>
  </si>
  <si>
    <t>Mary Daniels</t>
  </si>
  <si>
    <t>mary.daniels19@example.com</t>
  </si>
  <si>
    <t>08040966673</t>
  </si>
  <si>
    <t>Mary Johnson</t>
  </si>
  <si>
    <t>mary.johnson20@example.com</t>
  </si>
  <si>
    <t>2025-07-31</t>
  </si>
  <si>
    <t>08040136425</t>
  </si>
  <si>
    <t>Zainab Okoro</t>
  </si>
  <si>
    <t>zainab.okoro21@example.com</t>
  </si>
  <si>
    <t>08095528008</t>
  </si>
  <si>
    <t>James Balogun</t>
  </si>
  <si>
    <t>james.balogun22@example.com</t>
  </si>
  <si>
    <t>2025-08-09</t>
  </si>
  <si>
    <t>08097973732</t>
  </si>
  <si>
    <t>Chidi Ibrahim</t>
  </si>
  <si>
    <t>chidi.ibrahim23@example.com</t>
  </si>
  <si>
    <t>2025-07-20</t>
  </si>
  <si>
    <t>08098763359</t>
  </si>
  <si>
    <t>Aisha Nwankwo</t>
  </si>
  <si>
    <t>aisha.nwankwo24@example.com</t>
  </si>
  <si>
    <t>08061772977</t>
  </si>
  <si>
    <t>Grace Okoro</t>
  </si>
  <si>
    <t>grace.okoro25@example.com</t>
  </si>
  <si>
    <t>08040079818</t>
  </si>
  <si>
    <t>james.balogun26@example.com</t>
  </si>
  <si>
    <t>08094722145</t>
  </si>
  <si>
    <t>Tunde Ibrahim</t>
  </si>
  <si>
    <t>tunde.ibrahim27@example.com</t>
  </si>
  <si>
    <t>08053244072</t>
  </si>
  <si>
    <t>James Ade</t>
  </si>
  <si>
    <t>james.ade28@example.com</t>
  </si>
  <si>
    <t>08041615200</t>
  </si>
  <si>
    <t>james.balogun29@example.com</t>
  </si>
  <si>
    <t>2025-08-06</t>
  </si>
  <si>
    <t>08012888278</t>
  </si>
  <si>
    <t>Mary Okoro</t>
  </si>
  <si>
    <t>mary.okoro30@example.com</t>
  </si>
  <si>
    <t>08063437000</t>
  </si>
  <si>
    <t>mary.okoro31@example.com</t>
  </si>
  <si>
    <t>08045729749</t>
  </si>
  <si>
    <t>John Yusuf</t>
  </si>
  <si>
    <t>john.yusuf32@example.com</t>
  </si>
  <si>
    <t>08065300310</t>
  </si>
  <si>
    <t>Ada Johnson</t>
  </si>
  <si>
    <t>ada.johnson33@example.com</t>
  </si>
  <si>
    <t>08084800304</t>
  </si>
  <si>
    <t>john.yusuf34@example.com</t>
  </si>
  <si>
    <t>08078148560</t>
  </si>
  <si>
    <t>John Johnson</t>
  </si>
  <si>
    <t>john.johnson35@example.com</t>
  </si>
  <si>
    <t>08089225759</t>
  </si>
  <si>
    <t>ada.ibrahim36@example.com</t>
  </si>
  <si>
    <t>08099926929</t>
  </si>
  <si>
    <t>Emeka Ade</t>
  </si>
  <si>
    <t>emeka.ade37@example.com</t>
  </si>
  <si>
    <t>08041735796</t>
  </si>
  <si>
    <t>Emeka Johnson</t>
  </si>
  <si>
    <t>emeka.johnson38@example.com</t>
  </si>
  <si>
    <t>08075900251</t>
  </si>
  <si>
    <t>john.ibrahim39@example.com</t>
  </si>
  <si>
    <t>08018894754</t>
  </si>
  <si>
    <t>Zainab Johnson</t>
  </si>
  <si>
    <t>zainab.johnson40@example.com</t>
  </si>
  <si>
    <t>2025-07-25</t>
  </si>
  <si>
    <t>08055890748</t>
  </si>
  <si>
    <t>john.johnson41@example.com</t>
  </si>
  <si>
    <t>08041304399</t>
  </si>
  <si>
    <t>James Daniels</t>
  </si>
  <si>
    <t>james.daniels42@example.com</t>
  </si>
  <si>
    <t>08073564291</t>
  </si>
  <si>
    <t>James Ibrahim</t>
  </si>
  <si>
    <t>james.ibrahim43@example.com</t>
  </si>
  <si>
    <t>08079400634</t>
  </si>
  <si>
    <t>james.daniels44@example.com</t>
  </si>
  <si>
    <t>08011754301</t>
  </si>
  <si>
    <t>Tunde Balogun</t>
  </si>
  <si>
    <t>tunde.balogun45@example.com</t>
  </si>
  <si>
    <t>08052002171</t>
  </si>
  <si>
    <t>Chidi Nwankwo</t>
  </si>
  <si>
    <t>chidi.nwankwo46@example.com</t>
  </si>
  <si>
    <t>2025-08-05</t>
  </si>
  <si>
    <t>08084774911</t>
  </si>
  <si>
    <t>james.balogun47@example.com</t>
  </si>
  <si>
    <t>08035580807</t>
  </si>
  <si>
    <t>Aisha Ibrahim</t>
  </si>
  <si>
    <t>aisha.ibrahim48@example.com</t>
  </si>
  <si>
    <t>08061882933</t>
  </si>
  <si>
    <t>john.yusuf49@example.com</t>
  </si>
  <si>
    <t>08018829672</t>
  </si>
  <si>
    <t>OVTech 2025 Scholarship Screening</t>
  </si>
  <si>
    <t>APPLICANT SEARCH TABLE</t>
  </si>
  <si>
    <t>NAME</t>
  </si>
  <si>
    <t>EMAIL</t>
  </si>
  <si>
    <t>SCORE</t>
  </si>
  <si>
    <t>GENDER</t>
  </si>
  <si>
    <t>INTERVIEW DATE</t>
  </si>
  <si>
    <t>APPLICANT INTERVIEW SCORE</t>
  </si>
  <si>
    <t>Lowest Interview Score :</t>
  </si>
  <si>
    <t>Highest Interview Score :</t>
  </si>
  <si>
    <t>Average Interview Score :</t>
  </si>
  <si>
    <t>Median Interview Score :</t>
  </si>
  <si>
    <t>Modal Interview Score :</t>
  </si>
  <si>
    <t>Total Number Of Applicant :</t>
  </si>
  <si>
    <t>QUARTILE ANALYSIS</t>
  </si>
  <si>
    <t>PERCENTILE</t>
  </si>
  <si>
    <t>QUARTILE .INCL VALUVE</t>
  </si>
  <si>
    <t>QUARTILE.EXC VALUE</t>
  </si>
  <si>
    <t>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</si>
</sst>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theme="0"/>
      <name val="Britannic Bold"/>
      <charset val="134"/>
    </font>
    <font>
      <sz val="12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b/>
      <sz val="14"/>
      <color theme="5" tint="-0.25"/>
      <name val="Arial Black"/>
      <charset val="134"/>
    </font>
    <font>
      <b/>
      <sz val="11"/>
      <color theme="1"/>
      <name val="Candara"/>
      <charset val="134"/>
    </font>
    <font>
      <b/>
      <sz val="18"/>
      <color theme="0"/>
      <name val="Algeri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AAD5A"/>
        <bgColor indexed="64"/>
      </patternFill>
    </fill>
    <fill>
      <patternFill patternType="solid">
        <fgColor rgb="FFFFCF9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DA73"/>
        <bgColor indexed="64"/>
      </patternFill>
    </fill>
    <fill>
      <patternFill patternType="solid">
        <fgColor rgb="FFFFFF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20" applyNumberFormat="0" applyAlignment="0" applyProtection="0">
      <alignment vertical="center"/>
    </xf>
    <xf numFmtId="0" fontId="16" fillId="14" borderId="21" applyNumberFormat="0" applyAlignment="0" applyProtection="0">
      <alignment vertical="center"/>
    </xf>
    <xf numFmtId="0" fontId="17" fillId="14" borderId="20" applyNumberFormat="0" applyAlignment="0" applyProtection="0">
      <alignment vertical="center"/>
    </xf>
    <xf numFmtId="0" fontId="18" fillId="15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33">
    <xf numFmtId="0" fontId="0" fillId="0" borderId="0" xfId="0"/>
    <xf numFmtId="5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9" fontId="0" fillId="0" borderId="0" xfId="0" applyNumberFormat="1"/>
    <xf numFmtId="0" fontId="2" fillId="4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/>
    <xf numFmtId="0" fontId="3" fillId="0" borderId="3" xfId="0" applyFont="1" applyBorder="1"/>
    <xf numFmtId="0" fontId="3" fillId="0" borderId="4" xfId="0" applyFont="1" applyBorder="1" applyAlignment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3" fillId="0" borderId="5" xfId="0" applyFont="1" applyBorder="1" applyAlignment="1"/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8" borderId="0" xfId="0" applyFill="1"/>
    <xf numFmtId="0" fontId="0" fillId="9" borderId="0" xfId="0" applyFill="1"/>
    <xf numFmtId="0" fontId="6" fillId="9" borderId="0" xfId="0" applyFont="1" applyFill="1" applyAlignment="1">
      <alignment horizontal="center" vertical="center"/>
    </xf>
    <xf numFmtId="0" fontId="0" fillId="10" borderId="16" xfId="0" applyFill="1" applyBorder="1"/>
    <xf numFmtId="0" fontId="3" fillId="11" borderId="16" xfId="0" applyFont="1" applyFill="1" applyBorder="1" applyAlignment="1">
      <alignment horizontal="center" vertical="top"/>
    </xf>
    <xf numFmtId="0" fontId="0" fillId="1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7860C"/>
      <color rgb="00FAAD5A"/>
      <color rgb="00FFCF9F"/>
      <color rgb="00DEDA73"/>
      <color rgb="00FFFEA3"/>
      <color rgb="00FFFFFF"/>
      <color rgb="00FFFF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52"/>
  <sheetViews>
    <sheetView tabSelected="1" workbookViewId="0">
      <selection activeCell="M1" sqref="M1"/>
    </sheetView>
  </sheetViews>
  <sheetFormatPr defaultColWidth="9" defaultRowHeight="14.4"/>
  <cols>
    <col min="2" max="2" width="15.1111111111111" customWidth="1"/>
    <col min="3" max="3" width="30" customWidth="1"/>
    <col min="4" max="4" width="7.11111111111111" customWidth="1"/>
    <col min="6" max="6" width="13.3333333333333" customWidth="1"/>
    <col min="7" max="7" width="13.8888888888889" customWidth="1"/>
    <col min="8" max="8" width="23.4444444444444" customWidth="1"/>
    <col min="9" max="9" width="13.8888888888889" customWidth="1"/>
    <col min="15" max="15" width="5" customWidth="1"/>
  </cols>
  <sheetData>
    <row r="1" ht="25.2" spans="1:9">
      <c r="A1" s="28"/>
      <c r="B1" s="29" t="s">
        <v>0</v>
      </c>
      <c r="C1" s="29"/>
      <c r="D1" s="29"/>
      <c r="E1" s="29"/>
      <c r="F1" s="29"/>
      <c r="G1" s="29"/>
      <c r="H1" s="29"/>
      <c r="I1" s="29"/>
    </row>
    <row r="2" spans="1:9">
      <c r="A2" s="30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</row>
    <row r="3" spans="1:9">
      <c r="A3" s="32">
        <v>1</v>
      </c>
      <c r="B3" t="s">
        <v>10</v>
      </c>
      <c r="C3" t="s">
        <v>11</v>
      </c>
      <c r="D3" t="s">
        <v>12</v>
      </c>
      <c r="E3">
        <v>77</v>
      </c>
      <c r="F3" t="s">
        <v>13</v>
      </c>
      <c r="G3" t="str">
        <f>IF(E3&gt;70,"YES","NO")</f>
        <v>YES</v>
      </c>
      <c r="H3" t="b">
        <f>AND(D3="FEMALE",E3&gt;85)</f>
        <v>0</v>
      </c>
      <c r="I3" t="s">
        <v>14</v>
      </c>
    </row>
    <row r="4" spans="1:9">
      <c r="A4" s="32">
        <v>2</v>
      </c>
      <c r="B4" t="s">
        <v>15</v>
      </c>
      <c r="C4" t="s">
        <v>16</v>
      </c>
      <c r="D4" t="s">
        <v>12</v>
      </c>
      <c r="E4">
        <v>66</v>
      </c>
      <c r="F4" t="s">
        <v>17</v>
      </c>
      <c r="G4" t="str">
        <f t="shared" ref="G4:G35" si="0">IF(E4&gt;70,"YES","NO")</f>
        <v>NO</v>
      </c>
      <c r="H4" t="b">
        <f t="shared" ref="H4:H35" si="1">AND(D4="FEMALE",E4&gt;85)</f>
        <v>0</v>
      </c>
      <c r="I4" t="s">
        <v>18</v>
      </c>
    </row>
    <row r="5" spans="1:9">
      <c r="A5" s="32">
        <v>3</v>
      </c>
      <c r="B5" t="s">
        <v>19</v>
      </c>
      <c r="C5" t="s">
        <v>20</v>
      </c>
      <c r="D5" t="s">
        <v>12</v>
      </c>
      <c r="E5">
        <v>62</v>
      </c>
      <c r="F5" t="s">
        <v>21</v>
      </c>
      <c r="G5" t="str">
        <f t="shared" si="0"/>
        <v>NO</v>
      </c>
      <c r="H5" t="b">
        <f t="shared" si="1"/>
        <v>0</v>
      </c>
      <c r="I5" t="s">
        <v>22</v>
      </c>
    </row>
    <row r="6" spans="1:9">
      <c r="A6" s="32">
        <v>4</v>
      </c>
      <c r="B6" t="s">
        <v>23</v>
      </c>
      <c r="C6" t="s">
        <v>24</v>
      </c>
      <c r="D6" t="s">
        <v>12</v>
      </c>
      <c r="E6">
        <v>50</v>
      </c>
      <c r="F6" t="s">
        <v>25</v>
      </c>
      <c r="G6" t="str">
        <f t="shared" si="0"/>
        <v>NO</v>
      </c>
      <c r="H6" t="b">
        <f t="shared" si="1"/>
        <v>0</v>
      </c>
      <c r="I6" t="s">
        <v>26</v>
      </c>
    </row>
    <row r="7" spans="1:9">
      <c r="A7" s="32">
        <v>5</v>
      </c>
      <c r="B7" t="s">
        <v>27</v>
      </c>
      <c r="C7" t="s">
        <v>28</v>
      </c>
      <c r="D7" t="s">
        <v>12</v>
      </c>
      <c r="E7">
        <v>39</v>
      </c>
      <c r="F7" t="s">
        <v>29</v>
      </c>
      <c r="G7" t="str">
        <f t="shared" si="0"/>
        <v>NO</v>
      </c>
      <c r="H7" t="b">
        <f t="shared" si="1"/>
        <v>0</v>
      </c>
      <c r="I7" t="s">
        <v>30</v>
      </c>
    </row>
    <row r="8" spans="1:9">
      <c r="A8" s="32">
        <v>6</v>
      </c>
      <c r="B8" t="s">
        <v>31</v>
      </c>
      <c r="C8" t="s">
        <v>32</v>
      </c>
      <c r="D8" t="s">
        <v>33</v>
      </c>
      <c r="E8">
        <v>68</v>
      </c>
      <c r="F8" t="s">
        <v>34</v>
      </c>
      <c r="G8" t="str">
        <f t="shared" si="0"/>
        <v>NO</v>
      </c>
      <c r="H8" t="b">
        <f t="shared" si="1"/>
        <v>0</v>
      </c>
      <c r="I8" t="s">
        <v>35</v>
      </c>
    </row>
    <row r="9" spans="1:9">
      <c r="A9" s="32">
        <v>7</v>
      </c>
      <c r="B9" t="s">
        <v>36</v>
      </c>
      <c r="C9" t="s">
        <v>37</v>
      </c>
      <c r="D9" t="s">
        <v>33</v>
      </c>
      <c r="E9">
        <v>50</v>
      </c>
      <c r="F9" t="s">
        <v>17</v>
      </c>
      <c r="G9" t="str">
        <f t="shared" si="0"/>
        <v>NO</v>
      </c>
      <c r="H9" t="b">
        <f t="shared" si="1"/>
        <v>0</v>
      </c>
      <c r="I9" t="s">
        <v>38</v>
      </c>
    </row>
    <row r="10" spans="1:9">
      <c r="A10" s="32">
        <v>8</v>
      </c>
      <c r="B10" t="s">
        <v>39</v>
      </c>
      <c r="C10" t="s">
        <v>40</v>
      </c>
      <c r="D10" t="s">
        <v>33</v>
      </c>
      <c r="E10">
        <v>46</v>
      </c>
      <c r="F10" t="s">
        <v>41</v>
      </c>
      <c r="G10" t="str">
        <f t="shared" si="0"/>
        <v>NO</v>
      </c>
      <c r="H10" t="b">
        <f t="shared" si="1"/>
        <v>0</v>
      </c>
      <c r="I10" t="s">
        <v>42</v>
      </c>
    </row>
    <row r="11" spans="1:9">
      <c r="A11" s="32">
        <v>9</v>
      </c>
      <c r="B11" t="s">
        <v>10</v>
      </c>
      <c r="C11" t="s">
        <v>43</v>
      </c>
      <c r="D11" t="s">
        <v>12</v>
      </c>
      <c r="E11">
        <v>38</v>
      </c>
      <c r="F11" t="s">
        <v>44</v>
      </c>
      <c r="G11" t="str">
        <f t="shared" si="0"/>
        <v>NO</v>
      </c>
      <c r="H11" t="b">
        <f t="shared" si="1"/>
        <v>0</v>
      </c>
      <c r="I11" t="s">
        <v>45</v>
      </c>
    </row>
    <row r="12" spans="1:9">
      <c r="A12" s="32">
        <v>10</v>
      </c>
      <c r="B12" t="s">
        <v>46</v>
      </c>
      <c r="C12" t="s">
        <v>47</v>
      </c>
      <c r="D12" t="s">
        <v>33</v>
      </c>
      <c r="E12">
        <v>30</v>
      </c>
      <c r="F12" t="s">
        <v>41</v>
      </c>
      <c r="G12" t="str">
        <f t="shared" si="0"/>
        <v>NO</v>
      </c>
      <c r="H12" t="b">
        <f t="shared" si="1"/>
        <v>0</v>
      </c>
      <c r="I12" t="s">
        <v>48</v>
      </c>
    </row>
    <row r="13" spans="1:9">
      <c r="A13" s="32">
        <v>11</v>
      </c>
      <c r="B13" t="s">
        <v>49</v>
      </c>
      <c r="C13" t="s">
        <v>50</v>
      </c>
      <c r="D13" t="s">
        <v>12</v>
      </c>
      <c r="E13">
        <v>85</v>
      </c>
      <c r="F13" t="s">
        <v>51</v>
      </c>
      <c r="G13" t="str">
        <f t="shared" si="0"/>
        <v>YES</v>
      </c>
      <c r="H13" t="b">
        <f t="shared" si="1"/>
        <v>0</v>
      </c>
      <c r="I13" t="s">
        <v>52</v>
      </c>
    </row>
    <row r="14" spans="1:9">
      <c r="A14" s="32">
        <v>12</v>
      </c>
      <c r="B14" t="s">
        <v>53</v>
      </c>
      <c r="C14" t="s">
        <v>54</v>
      </c>
      <c r="D14" t="s">
        <v>33</v>
      </c>
      <c r="E14">
        <v>92</v>
      </c>
      <c r="F14" t="s">
        <v>55</v>
      </c>
      <c r="G14" t="str">
        <f t="shared" si="0"/>
        <v>YES</v>
      </c>
      <c r="H14" t="b">
        <f t="shared" si="1"/>
        <v>0</v>
      </c>
      <c r="I14" t="s">
        <v>56</v>
      </c>
    </row>
    <row r="15" spans="1:9">
      <c r="A15" s="32">
        <v>13</v>
      </c>
      <c r="B15" t="s">
        <v>57</v>
      </c>
      <c r="C15" t="s">
        <v>58</v>
      </c>
      <c r="D15" t="s">
        <v>33</v>
      </c>
      <c r="E15">
        <v>90</v>
      </c>
      <c r="F15" t="s">
        <v>55</v>
      </c>
      <c r="G15" t="str">
        <f t="shared" si="0"/>
        <v>YES</v>
      </c>
      <c r="H15" t="b">
        <f t="shared" si="1"/>
        <v>0</v>
      </c>
      <c r="I15" t="s">
        <v>59</v>
      </c>
    </row>
    <row r="16" spans="1:9">
      <c r="A16" s="32">
        <v>14</v>
      </c>
      <c r="B16" t="s">
        <v>60</v>
      </c>
      <c r="C16" t="s">
        <v>61</v>
      </c>
      <c r="D16" t="s">
        <v>12</v>
      </c>
      <c r="E16">
        <v>66</v>
      </c>
      <c r="F16" t="s">
        <v>34</v>
      </c>
      <c r="G16" t="str">
        <f t="shared" si="0"/>
        <v>NO</v>
      </c>
      <c r="H16" t="b">
        <f t="shared" si="1"/>
        <v>0</v>
      </c>
      <c r="I16" t="s">
        <v>62</v>
      </c>
    </row>
    <row r="17" spans="1:9">
      <c r="A17" s="32">
        <v>15</v>
      </c>
      <c r="B17" t="s">
        <v>63</v>
      </c>
      <c r="C17" t="s">
        <v>64</v>
      </c>
      <c r="D17" t="s">
        <v>12</v>
      </c>
      <c r="E17">
        <v>90</v>
      </c>
      <c r="F17" t="s">
        <v>65</v>
      </c>
      <c r="G17" t="str">
        <f t="shared" si="0"/>
        <v>YES</v>
      </c>
      <c r="H17" t="b">
        <f t="shared" si="1"/>
        <v>1</v>
      </c>
      <c r="I17" t="s">
        <v>66</v>
      </c>
    </row>
    <row r="18" spans="1:9">
      <c r="A18" s="32">
        <v>16</v>
      </c>
      <c r="B18" t="s">
        <v>67</v>
      </c>
      <c r="C18" t="s">
        <v>68</v>
      </c>
      <c r="D18" t="s">
        <v>12</v>
      </c>
      <c r="E18">
        <v>57</v>
      </c>
      <c r="F18" t="s">
        <v>69</v>
      </c>
      <c r="G18" t="str">
        <f t="shared" si="0"/>
        <v>NO</v>
      </c>
      <c r="H18" t="b">
        <f t="shared" si="1"/>
        <v>0</v>
      </c>
      <c r="I18" t="s">
        <v>70</v>
      </c>
    </row>
    <row r="19" spans="1:9">
      <c r="A19" s="32">
        <v>17</v>
      </c>
      <c r="B19" t="s">
        <v>67</v>
      </c>
      <c r="C19" t="s">
        <v>71</v>
      </c>
      <c r="D19" t="s">
        <v>12</v>
      </c>
      <c r="E19">
        <v>37</v>
      </c>
      <c r="F19" t="s">
        <v>72</v>
      </c>
      <c r="G19" t="str">
        <f t="shared" si="0"/>
        <v>NO</v>
      </c>
      <c r="H19" t="b">
        <f t="shared" si="1"/>
        <v>0</v>
      </c>
      <c r="I19" t="s">
        <v>73</v>
      </c>
    </row>
    <row r="20" spans="1:9">
      <c r="A20" s="32">
        <v>18</v>
      </c>
      <c r="B20" t="s">
        <v>31</v>
      </c>
      <c r="C20" t="s">
        <v>74</v>
      </c>
      <c r="D20" t="s">
        <v>33</v>
      </c>
      <c r="E20">
        <v>81</v>
      </c>
      <c r="F20" t="s">
        <v>75</v>
      </c>
      <c r="G20" t="str">
        <f t="shared" si="0"/>
        <v>YES</v>
      </c>
      <c r="H20" t="b">
        <f t="shared" si="1"/>
        <v>0</v>
      </c>
      <c r="I20" t="s">
        <v>76</v>
      </c>
    </row>
    <row r="21" spans="1:9">
      <c r="A21" s="32">
        <v>19</v>
      </c>
      <c r="B21" t="s">
        <v>77</v>
      </c>
      <c r="C21" t="s">
        <v>78</v>
      </c>
      <c r="D21" t="s">
        <v>33</v>
      </c>
      <c r="E21">
        <v>37</v>
      </c>
      <c r="F21" t="s">
        <v>79</v>
      </c>
      <c r="G21" t="str">
        <f t="shared" si="0"/>
        <v>NO</v>
      </c>
      <c r="H21" t="b">
        <f t="shared" si="1"/>
        <v>0</v>
      </c>
      <c r="I21" t="s">
        <v>80</v>
      </c>
    </row>
    <row r="22" spans="1:9">
      <c r="A22" s="32">
        <v>20</v>
      </c>
      <c r="B22" t="s">
        <v>81</v>
      </c>
      <c r="C22" t="s">
        <v>82</v>
      </c>
      <c r="D22" t="s">
        <v>33</v>
      </c>
      <c r="E22">
        <v>93</v>
      </c>
      <c r="F22" t="s">
        <v>72</v>
      </c>
      <c r="G22" t="str">
        <f t="shared" si="0"/>
        <v>YES</v>
      </c>
      <c r="H22" t="b">
        <f t="shared" si="1"/>
        <v>0</v>
      </c>
      <c r="I22" t="s">
        <v>83</v>
      </c>
    </row>
    <row r="23" spans="1:9">
      <c r="A23" s="32">
        <v>21</v>
      </c>
      <c r="B23" t="s">
        <v>84</v>
      </c>
      <c r="C23" t="s">
        <v>85</v>
      </c>
      <c r="D23" t="s">
        <v>33</v>
      </c>
      <c r="E23">
        <v>59</v>
      </c>
      <c r="F23" t="s">
        <v>86</v>
      </c>
      <c r="G23" t="str">
        <f t="shared" si="0"/>
        <v>NO</v>
      </c>
      <c r="H23" t="b">
        <f t="shared" si="1"/>
        <v>0</v>
      </c>
      <c r="I23" t="s">
        <v>87</v>
      </c>
    </row>
    <row r="24" spans="1:9">
      <c r="A24" s="32">
        <v>22</v>
      </c>
      <c r="B24" t="s">
        <v>88</v>
      </c>
      <c r="C24" t="s">
        <v>89</v>
      </c>
      <c r="D24" t="s">
        <v>12</v>
      </c>
      <c r="E24">
        <v>33</v>
      </c>
      <c r="F24" t="s">
        <v>34</v>
      </c>
      <c r="G24" t="str">
        <f t="shared" si="0"/>
        <v>NO</v>
      </c>
      <c r="H24" t="b">
        <f t="shared" si="1"/>
        <v>0</v>
      </c>
      <c r="I24" t="s">
        <v>90</v>
      </c>
    </row>
    <row r="25" spans="1:9">
      <c r="A25" s="32">
        <v>23</v>
      </c>
      <c r="B25" t="s">
        <v>91</v>
      </c>
      <c r="C25" t="s">
        <v>92</v>
      </c>
      <c r="D25" t="s">
        <v>33</v>
      </c>
      <c r="E25">
        <v>71</v>
      </c>
      <c r="F25" t="s">
        <v>93</v>
      </c>
      <c r="G25" t="str">
        <f t="shared" si="0"/>
        <v>YES</v>
      </c>
      <c r="H25" t="b">
        <f t="shared" si="1"/>
        <v>0</v>
      </c>
      <c r="I25" t="s">
        <v>94</v>
      </c>
    </row>
    <row r="26" spans="1:9">
      <c r="A26" s="32">
        <v>24</v>
      </c>
      <c r="B26" t="s">
        <v>95</v>
      </c>
      <c r="C26" t="s">
        <v>96</v>
      </c>
      <c r="D26" t="s">
        <v>12</v>
      </c>
      <c r="E26">
        <v>55</v>
      </c>
      <c r="F26" t="s">
        <v>97</v>
      </c>
      <c r="G26" t="str">
        <f t="shared" si="0"/>
        <v>NO</v>
      </c>
      <c r="H26" t="b">
        <f t="shared" si="1"/>
        <v>0</v>
      </c>
      <c r="I26" t="s">
        <v>98</v>
      </c>
    </row>
    <row r="27" spans="1:9">
      <c r="A27" s="32">
        <v>25</v>
      </c>
      <c r="B27" t="s">
        <v>99</v>
      </c>
      <c r="C27" t="s">
        <v>100</v>
      </c>
      <c r="D27" t="s">
        <v>33</v>
      </c>
      <c r="E27">
        <v>41</v>
      </c>
      <c r="F27" t="s">
        <v>51</v>
      </c>
      <c r="G27" t="str">
        <f t="shared" si="0"/>
        <v>NO</v>
      </c>
      <c r="H27" t="b">
        <f t="shared" si="1"/>
        <v>0</v>
      </c>
      <c r="I27" t="s">
        <v>101</v>
      </c>
    </row>
    <row r="28" spans="1:9">
      <c r="A28" s="32">
        <v>26</v>
      </c>
      <c r="B28" t="s">
        <v>102</v>
      </c>
      <c r="C28" t="s">
        <v>103</v>
      </c>
      <c r="D28" t="s">
        <v>33</v>
      </c>
      <c r="E28">
        <v>62</v>
      </c>
      <c r="F28" t="s">
        <v>93</v>
      </c>
      <c r="G28" t="str">
        <f t="shared" si="0"/>
        <v>NO</v>
      </c>
      <c r="H28" t="b">
        <f t="shared" si="1"/>
        <v>0</v>
      </c>
      <c r="I28" t="s">
        <v>104</v>
      </c>
    </row>
    <row r="29" spans="1:9">
      <c r="A29" s="32">
        <v>27</v>
      </c>
      <c r="B29" t="s">
        <v>91</v>
      </c>
      <c r="C29" t="s">
        <v>105</v>
      </c>
      <c r="D29" t="s">
        <v>33</v>
      </c>
      <c r="E29">
        <v>64</v>
      </c>
      <c r="F29" t="s">
        <v>65</v>
      </c>
      <c r="G29" t="str">
        <f t="shared" si="0"/>
        <v>NO</v>
      </c>
      <c r="H29" t="b">
        <f t="shared" si="1"/>
        <v>0</v>
      </c>
      <c r="I29" t="s">
        <v>106</v>
      </c>
    </row>
    <row r="30" spans="1:9">
      <c r="A30" s="32">
        <v>28</v>
      </c>
      <c r="B30" t="s">
        <v>107</v>
      </c>
      <c r="C30" t="s">
        <v>108</v>
      </c>
      <c r="D30" t="s">
        <v>12</v>
      </c>
      <c r="E30">
        <v>81</v>
      </c>
      <c r="F30" t="s">
        <v>93</v>
      </c>
      <c r="G30" t="str">
        <f t="shared" si="0"/>
        <v>YES</v>
      </c>
      <c r="H30" t="b">
        <f t="shared" si="1"/>
        <v>0</v>
      </c>
      <c r="I30" t="s">
        <v>109</v>
      </c>
    </row>
    <row r="31" spans="1:9">
      <c r="A31" s="32">
        <v>29</v>
      </c>
      <c r="B31" t="s">
        <v>110</v>
      </c>
      <c r="C31" t="s">
        <v>111</v>
      </c>
      <c r="D31" t="s">
        <v>33</v>
      </c>
      <c r="E31">
        <v>32</v>
      </c>
      <c r="F31" t="s">
        <v>29</v>
      </c>
      <c r="G31" t="str">
        <f t="shared" si="0"/>
        <v>NO</v>
      </c>
      <c r="H31" t="b">
        <f t="shared" si="1"/>
        <v>0</v>
      </c>
      <c r="I31" t="s">
        <v>112</v>
      </c>
    </row>
    <row r="32" spans="1:9">
      <c r="A32" s="32">
        <v>30</v>
      </c>
      <c r="B32" t="s">
        <v>91</v>
      </c>
      <c r="C32" t="s">
        <v>113</v>
      </c>
      <c r="D32" t="s">
        <v>33</v>
      </c>
      <c r="E32">
        <v>41</v>
      </c>
      <c r="F32" t="s">
        <v>114</v>
      </c>
      <c r="G32" t="str">
        <f t="shared" si="0"/>
        <v>NO</v>
      </c>
      <c r="H32" t="b">
        <f t="shared" si="1"/>
        <v>0</v>
      </c>
      <c r="I32" t="s">
        <v>115</v>
      </c>
    </row>
    <row r="33" spans="1:9">
      <c r="A33" s="32">
        <v>31</v>
      </c>
      <c r="B33" t="s">
        <v>116</v>
      </c>
      <c r="C33" t="s">
        <v>117</v>
      </c>
      <c r="D33" t="s">
        <v>12</v>
      </c>
      <c r="E33">
        <v>52</v>
      </c>
      <c r="F33" t="s">
        <v>75</v>
      </c>
      <c r="G33" t="str">
        <f t="shared" si="0"/>
        <v>NO</v>
      </c>
      <c r="H33" t="b">
        <f t="shared" si="1"/>
        <v>0</v>
      </c>
      <c r="I33" t="s">
        <v>118</v>
      </c>
    </row>
    <row r="34" spans="1:9">
      <c r="A34" s="32">
        <v>32</v>
      </c>
      <c r="B34" t="s">
        <v>116</v>
      </c>
      <c r="C34" t="s">
        <v>119</v>
      </c>
      <c r="D34" t="s">
        <v>12</v>
      </c>
      <c r="E34">
        <v>47</v>
      </c>
      <c r="F34" t="s">
        <v>29</v>
      </c>
      <c r="G34" t="str">
        <f t="shared" si="0"/>
        <v>NO</v>
      </c>
      <c r="H34" t="b">
        <f t="shared" si="1"/>
        <v>0</v>
      </c>
      <c r="I34" t="s">
        <v>120</v>
      </c>
    </row>
    <row r="35" spans="1:9">
      <c r="A35" s="32">
        <v>33</v>
      </c>
      <c r="B35" t="s">
        <v>121</v>
      </c>
      <c r="C35" t="s">
        <v>122</v>
      </c>
      <c r="D35" t="s">
        <v>12</v>
      </c>
      <c r="E35">
        <v>69</v>
      </c>
      <c r="F35" t="s">
        <v>34</v>
      </c>
      <c r="G35" t="str">
        <f t="shared" si="0"/>
        <v>NO</v>
      </c>
      <c r="H35" t="b">
        <f t="shared" si="1"/>
        <v>0</v>
      </c>
      <c r="I35" t="s">
        <v>123</v>
      </c>
    </row>
    <row r="36" spans="1:9">
      <c r="A36" s="32">
        <v>34</v>
      </c>
      <c r="B36" t="s">
        <v>124</v>
      </c>
      <c r="C36" t="s">
        <v>125</v>
      </c>
      <c r="D36" t="s">
        <v>12</v>
      </c>
      <c r="E36">
        <v>78</v>
      </c>
      <c r="F36" t="s">
        <v>75</v>
      </c>
      <c r="G36" t="str">
        <f t="shared" ref="G36:G52" si="2">IF(E36&gt;70,"YES","NO")</f>
        <v>YES</v>
      </c>
      <c r="H36" t="b">
        <f t="shared" ref="H36:H52" si="3">AND(D36="FEMALE",E36&gt;85)</f>
        <v>0</v>
      </c>
      <c r="I36" t="s">
        <v>126</v>
      </c>
    </row>
    <row r="37" spans="1:9">
      <c r="A37" s="32">
        <v>35</v>
      </c>
      <c r="B37" t="s">
        <v>121</v>
      </c>
      <c r="C37" t="s">
        <v>127</v>
      </c>
      <c r="D37" t="s">
        <v>12</v>
      </c>
      <c r="E37">
        <v>44</v>
      </c>
      <c r="F37" t="s">
        <v>79</v>
      </c>
      <c r="G37" t="str">
        <f t="shared" si="2"/>
        <v>NO</v>
      </c>
      <c r="H37" t="b">
        <f t="shared" si="3"/>
        <v>0</v>
      </c>
      <c r="I37" t="s">
        <v>128</v>
      </c>
    </row>
    <row r="38" spans="1:9">
      <c r="A38" s="32">
        <v>36</v>
      </c>
      <c r="B38" t="s">
        <v>129</v>
      </c>
      <c r="C38" t="s">
        <v>130</v>
      </c>
      <c r="D38" t="s">
        <v>12</v>
      </c>
      <c r="E38">
        <v>62</v>
      </c>
      <c r="F38" t="s">
        <v>86</v>
      </c>
      <c r="G38" t="str">
        <f t="shared" si="2"/>
        <v>NO</v>
      </c>
      <c r="H38" t="b">
        <f t="shared" si="3"/>
        <v>0</v>
      </c>
      <c r="I38" t="s">
        <v>131</v>
      </c>
    </row>
    <row r="39" spans="1:9">
      <c r="A39" s="32">
        <v>37</v>
      </c>
      <c r="B39" t="s">
        <v>36</v>
      </c>
      <c r="C39" t="s">
        <v>132</v>
      </c>
      <c r="D39" t="s">
        <v>12</v>
      </c>
      <c r="E39">
        <v>96</v>
      </c>
      <c r="F39" t="s">
        <v>97</v>
      </c>
      <c r="G39" t="str">
        <f t="shared" si="2"/>
        <v>YES</v>
      </c>
      <c r="H39" t="b">
        <f t="shared" si="3"/>
        <v>1</v>
      </c>
      <c r="I39" t="s">
        <v>133</v>
      </c>
    </row>
    <row r="40" spans="1:9">
      <c r="A40" s="32">
        <v>38</v>
      </c>
      <c r="B40" t="s">
        <v>134</v>
      </c>
      <c r="C40" t="s">
        <v>135</v>
      </c>
      <c r="D40" t="s">
        <v>12</v>
      </c>
      <c r="E40">
        <v>96</v>
      </c>
      <c r="F40" t="s">
        <v>114</v>
      </c>
      <c r="G40" t="str">
        <f t="shared" si="2"/>
        <v>YES</v>
      </c>
      <c r="H40" t="b">
        <f t="shared" si="3"/>
        <v>1</v>
      </c>
      <c r="I40" t="s">
        <v>136</v>
      </c>
    </row>
    <row r="41" spans="1:9">
      <c r="A41" s="32">
        <v>39</v>
      </c>
      <c r="B41" t="s">
        <v>137</v>
      </c>
      <c r="C41" t="s">
        <v>138</v>
      </c>
      <c r="D41" t="s">
        <v>33</v>
      </c>
      <c r="E41">
        <v>55</v>
      </c>
      <c r="F41" t="s">
        <v>17</v>
      </c>
      <c r="G41" t="str">
        <f t="shared" si="2"/>
        <v>NO</v>
      </c>
      <c r="H41" t="b">
        <f t="shared" si="3"/>
        <v>0</v>
      </c>
      <c r="I41" t="s">
        <v>139</v>
      </c>
    </row>
    <row r="42" spans="1:9">
      <c r="A42" s="32">
        <v>40</v>
      </c>
      <c r="B42" t="s">
        <v>31</v>
      </c>
      <c r="C42" t="s">
        <v>140</v>
      </c>
      <c r="D42" t="s">
        <v>12</v>
      </c>
      <c r="E42">
        <v>96</v>
      </c>
      <c r="F42" t="s">
        <v>55</v>
      </c>
      <c r="G42" t="str">
        <f t="shared" si="2"/>
        <v>YES</v>
      </c>
      <c r="H42" t="b">
        <f t="shared" si="3"/>
        <v>1</v>
      </c>
      <c r="I42" t="s">
        <v>141</v>
      </c>
    </row>
    <row r="43" spans="1:9">
      <c r="A43" s="32">
        <v>41</v>
      </c>
      <c r="B43" t="s">
        <v>142</v>
      </c>
      <c r="C43" t="s">
        <v>143</v>
      </c>
      <c r="D43" t="s">
        <v>12</v>
      </c>
      <c r="E43">
        <v>39</v>
      </c>
      <c r="F43" t="s">
        <v>144</v>
      </c>
      <c r="G43" t="str">
        <f t="shared" si="2"/>
        <v>NO</v>
      </c>
      <c r="H43" t="b">
        <f t="shared" si="3"/>
        <v>0</v>
      </c>
      <c r="I43" t="s">
        <v>145</v>
      </c>
    </row>
    <row r="44" spans="1:9">
      <c r="A44" s="32">
        <v>42</v>
      </c>
      <c r="B44" t="s">
        <v>129</v>
      </c>
      <c r="C44" t="s">
        <v>146</v>
      </c>
      <c r="D44" t="s">
        <v>33</v>
      </c>
      <c r="E44">
        <v>70</v>
      </c>
      <c r="F44" t="s">
        <v>44</v>
      </c>
      <c r="G44" t="str">
        <f t="shared" si="2"/>
        <v>NO</v>
      </c>
      <c r="H44" t="b">
        <f t="shared" si="3"/>
        <v>0</v>
      </c>
      <c r="I44" t="s">
        <v>147</v>
      </c>
    </row>
    <row r="45" spans="1:9">
      <c r="A45" s="32">
        <v>43</v>
      </c>
      <c r="B45" t="s">
        <v>148</v>
      </c>
      <c r="C45" t="s">
        <v>149</v>
      </c>
      <c r="D45" t="s">
        <v>33</v>
      </c>
      <c r="E45">
        <v>47</v>
      </c>
      <c r="F45" t="s">
        <v>114</v>
      </c>
      <c r="G45" t="str">
        <f t="shared" si="2"/>
        <v>NO</v>
      </c>
      <c r="H45" t="b">
        <f t="shared" si="3"/>
        <v>0</v>
      </c>
      <c r="I45" t="s">
        <v>150</v>
      </c>
    </row>
    <row r="46" spans="1:9">
      <c r="A46" s="32">
        <v>44</v>
      </c>
      <c r="B46" t="s">
        <v>151</v>
      </c>
      <c r="C46" t="s">
        <v>152</v>
      </c>
      <c r="D46" t="s">
        <v>33</v>
      </c>
      <c r="E46">
        <v>98</v>
      </c>
      <c r="F46" t="s">
        <v>79</v>
      </c>
      <c r="G46" t="str">
        <f t="shared" si="2"/>
        <v>YES</v>
      </c>
      <c r="H46" t="b">
        <f t="shared" si="3"/>
        <v>0</v>
      </c>
      <c r="I46" t="s">
        <v>153</v>
      </c>
    </row>
    <row r="47" spans="1:9">
      <c r="A47" s="32">
        <v>45</v>
      </c>
      <c r="B47" t="s">
        <v>148</v>
      </c>
      <c r="C47" t="s">
        <v>154</v>
      </c>
      <c r="D47" t="s">
        <v>12</v>
      </c>
      <c r="E47">
        <v>77</v>
      </c>
      <c r="F47" t="s">
        <v>65</v>
      </c>
      <c r="G47" t="str">
        <f t="shared" si="2"/>
        <v>YES</v>
      </c>
      <c r="H47" t="b">
        <f t="shared" si="3"/>
        <v>0</v>
      </c>
      <c r="I47" t="s">
        <v>155</v>
      </c>
    </row>
    <row r="48" spans="1:9">
      <c r="A48" s="32">
        <v>46</v>
      </c>
      <c r="B48" t="s">
        <v>156</v>
      </c>
      <c r="C48" t="s">
        <v>157</v>
      </c>
      <c r="D48" t="s">
        <v>33</v>
      </c>
      <c r="E48">
        <v>57</v>
      </c>
      <c r="F48" t="s">
        <v>55</v>
      </c>
      <c r="G48" t="str">
        <f t="shared" si="2"/>
        <v>NO</v>
      </c>
      <c r="H48" t="b">
        <f t="shared" si="3"/>
        <v>0</v>
      </c>
      <c r="I48" t="s">
        <v>158</v>
      </c>
    </row>
    <row r="49" spans="1:9">
      <c r="A49" s="32">
        <v>47</v>
      </c>
      <c r="B49" t="s">
        <v>159</v>
      </c>
      <c r="C49" t="s">
        <v>160</v>
      </c>
      <c r="D49" t="s">
        <v>33</v>
      </c>
      <c r="E49">
        <v>88</v>
      </c>
      <c r="F49" t="s">
        <v>161</v>
      </c>
      <c r="G49" t="str">
        <f t="shared" si="2"/>
        <v>YES</v>
      </c>
      <c r="H49" t="b">
        <f t="shared" si="3"/>
        <v>0</v>
      </c>
      <c r="I49" t="s">
        <v>162</v>
      </c>
    </row>
    <row r="50" spans="1:9">
      <c r="A50" s="32">
        <v>48</v>
      </c>
      <c r="B50" t="s">
        <v>91</v>
      </c>
      <c r="C50" t="s">
        <v>163</v>
      </c>
      <c r="D50" t="s">
        <v>33</v>
      </c>
      <c r="E50">
        <v>65</v>
      </c>
      <c r="F50" t="s">
        <v>41</v>
      </c>
      <c r="G50" t="str">
        <f t="shared" si="2"/>
        <v>NO</v>
      </c>
      <c r="H50" t="b">
        <f t="shared" si="3"/>
        <v>0</v>
      </c>
      <c r="I50" t="s">
        <v>164</v>
      </c>
    </row>
    <row r="51" spans="1:9">
      <c r="A51" s="32">
        <v>49</v>
      </c>
      <c r="B51" t="s">
        <v>165</v>
      </c>
      <c r="C51" t="s">
        <v>166</v>
      </c>
      <c r="D51" t="s">
        <v>33</v>
      </c>
      <c r="E51">
        <v>31</v>
      </c>
      <c r="F51" t="s">
        <v>29</v>
      </c>
      <c r="G51" t="str">
        <f t="shared" si="2"/>
        <v>NO</v>
      </c>
      <c r="H51" t="b">
        <f t="shared" si="3"/>
        <v>0</v>
      </c>
      <c r="I51" t="s">
        <v>167</v>
      </c>
    </row>
    <row r="52" spans="1:9">
      <c r="A52" s="32">
        <v>50</v>
      </c>
      <c r="B52" t="s">
        <v>121</v>
      </c>
      <c r="C52" t="s">
        <v>168</v>
      </c>
      <c r="D52" t="s">
        <v>12</v>
      </c>
      <c r="E52">
        <v>62</v>
      </c>
      <c r="F52" t="s">
        <v>114</v>
      </c>
      <c r="G52" t="str">
        <f t="shared" si="2"/>
        <v>NO</v>
      </c>
      <c r="H52" t="b">
        <f t="shared" si="3"/>
        <v>0</v>
      </c>
      <c r="I52" t="s">
        <v>169</v>
      </c>
    </row>
  </sheetData>
  <autoFilter xmlns:etc="http://www.wps.cn/officeDocument/2017/etCustomData" ref="H2:H52" etc:filterBottomFollowUsedRange="0">
    <extLst/>
  </autoFilter>
  <mergeCells count="1">
    <mergeCell ref="B1: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F24"/>
  <sheetViews>
    <sheetView workbookViewId="0">
      <selection activeCell="G18" sqref="G18"/>
    </sheetView>
  </sheetViews>
  <sheetFormatPr defaultColWidth="9" defaultRowHeight="14.4" outlineLevelCol="5"/>
  <cols>
    <col min="1" max="1" width="34.1111111111111" customWidth="1"/>
    <col min="2" max="2" width="28.4444444444444" customWidth="1"/>
    <col min="5" max="5" width="16.8888888888889" customWidth="1"/>
  </cols>
  <sheetData>
    <row r="1" ht="21" spans="1:6">
      <c r="A1" s="14" t="s">
        <v>170</v>
      </c>
      <c r="B1" s="15"/>
      <c r="C1" s="15"/>
      <c r="D1" s="15"/>
      <c r="E1" s="16"/>
    </row>
    <row r="2" spans="1:6">
      <c r="A2" s="17" t="s">
        <v>171</v>
      </c>
      <c r="B2" s="18"/>
      <c r="C2" s="18"/>
      <c r="D2" s="18"/>
      <c r="E2" s="19"/>
    </row>
    <row r="3" spans="1:6">
      <c r="A3" s="20" t="s">
        <v>172</v>
      </c>
      <c r="B3" s="21" t="s">
        <v>173</v>
      </c>
      <c r="C3" s="21" t="s">
        <v>174</v>
      </c>
      <c r="D3" s="21" t="s">
        <v>175</v>
      </c>
      <c r="E3" s="22" t="s">
        <v>176</v>
      </c>
      <c r="F3" s="23"/>
    </row>
    <row r="4" ht="15.15" spans="1:6">
      <c r="A4" s="24" t="s">
        <v>27</v>
      </c>
      <c r="B4" s="25" t="str">
        <f>_xlfn.XLOOKUP(A4,Applicants!B3:B52,Applicants!C3:C52,"APPLICANT NOT FOUND",0)</f>
        <v>chidi.yusuf4@example.com</v>
      </c>
      <c r="C4" s="25">
        <f>_xlfn.XLOOKUP(A4,Applicants!B3:B52,Applicants!E3:E52,"NO SCORE FOUND",0)</f>
        <v>39</v>
      </c>
      <c r="D4" s="25" t="str">
        <f>_xlfn.XLOOKUP(A4,Applicants!B3:B52,Applicants!D3:D52,"APPLICANT NOT FOUND",0)</f>
        <v>Female</v>
      </c>
      <c r="E4" s="26" t="str">
        <f>_xlfn.XLOOKUP(A4,Applicants!B3:B52,Applicants!F3:F52,"APPLICANT NOT FOUND",0)</f>
        <v>2025-07-30</v>
      </c>
    </row>
    <row r="24" spans="6:6">
      <c r="F24" s="27"/>
    </row>
  </sheetData>
  <mergeCells count="2">
    <mergeCell ref="A1:E1"/>
    <mergeCell ref="A2:E2"/>
  </mergeCells>
  <dataValidations count="1">
    <dataValidation type="list" allowBlank="1" showInputMessage="1" showErrorMessage="1" sqref="A4">
      <formula1>Applicants!$B$3:$B$52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E13"/>
  <sheetViews>
    <sheetView workbookViewId="0">
      <selection activeCell="E2" sqref="E2"/>
    </sheetView>
  </sheetViews>
  <sheetFormatPr defaultColWidth="8.88888888888889" defaultRowHeight="14.4" outlineLevelCol="4"/>
  <sheetData>
    <row r="1" ht="18.6" spans="1:5">
      <c r="A1" s="5" t="s">
        <v>177</v>
      </c>
      <c r="B1" s="5"/>
      <c r="C1" s="5"/>
      <c r="D1" s="5"/>
      <c r="E1" s="5"/>
    </row>
    <row r="2" ht="15.15"/>
    <row r="3" ht="15.15" spans="1:5">
      <c r="A3" s="6" t="s">
        <v>178</v>
      </c>
      <c r="B3" s="7"/>
      <c r="C3" s="7"/>
      <c r="D3" s="8">
        <f>MIN(Applicants!E3:E52)</f>
        <v>30</v>
      </c>
    </row>
    <row r="4" ht="15.15"/>
    <row r="5" ht="15.15" spans="1:5">
      <c r="A5" s="9" t="s">
        <v>179</v>
      </c>
      <c r="B5" s="10"/>
      <c r="C5" s="11"/>
      <c r="D5" s="12">
        <f>MAX(Applicants!E3:E52)</f>
        <v>98</v>
      </c>
    </row>
    <row r="6" ht="15.15"/>
    <row r="7" ht="15.15" spans="1:5">
      <c r="A7" s="13" t="s">
        <v>180</v>
      </c>
      <c r="B7" s="11"/>
      <c r="C7" s="11"/>
      <c r="D7" s="12">
        <f>AVERAGE(Applicants!E3:E52)</f>
        <v>62.44</v>
      </c>
    </row>
    <row r="8" ht="15.15"/>
    <row r="9" ht="15.15" spans="1:5">
      <c r="A9" s="13" t="s">
        <v>181</v>
      </c>
      <c r="B9" s="11"/>
      <c r="C9" s="11"/>
      <c r="D9" s="12">
        <f>MEDIAN(Applicants!E3:E52)</f>
        <v>62</v>
      </c>
    </row>
    <row r="10" ht="15.15"/>
    <row r="11" ht="15.15" spans="1:5">
      <c r="A11" s="13" t="s">
        <v>182</v>
      </c>
      <c r="B11" s="11"/>
      <c r="C11" s="11"/>
      <c r="D11" s="12" cm="1">
        <f t="array" ref="D11">MODE(Applicants!E2:E52)</f>
        <v>62</v>
      </c>
    </row>
    <row r="12" ht="15.15"/>
    <row r="13" ht="15.15" spans="1:5">
      <c r="A13" s="13" t="s">
        <v>183</v>
      </c>
      <c r="B13" s="11"/>
      <c r="C13" s="11"/>
      <c r="D13" s="12">
        <f>COUNTA(Applicants!B3:B52)</f>
        <v>50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C5"/>
  <sheetViews>
    <sheetView workbookViewId="0">
      <selection activeCell="D27" sqref="D27"/>
    </sheetView>
  </sheetViews>
  <sheetFormatPr defaultColWidth="8.88888888888889" defaultRowHeight="14.4" outlineLevelRow="4" outlineLevelCol="2"/>
  <cols>
    <col min="1" max="1" width="19.2222222222222" customWidth="1"/>
    <col min="2" max="2" width="23.4444444444444" customWidth="1"/>
    <col min="3" max="3" width="20.7777777777778" customWidth="1"/>
  </cols>
  <sheetData>
    <row r="1" ht="20.4" spans="1:3">
      <c r="A1" s="2" t="s">
        <v>184</v>
      </c>
      <c r="B1" s="2"/>
      <c r="C1" s="2"/>
    </row>
    <row r="2" spans="1:3">
      <c r="A2" s="3" t="s">
        <v>185</v>
      </c>
      <c r="B2" s="3" t="s">
        <v>186</v>
      </c>
      <c r="C2" s="3" t="s">
        <v>187</v>
      </c>
    </row>
    <row r="3" spans="1:3">
      <c r="A3" s="4">
        <v>0.25</v>
      </c>
      <c r="B3">
        <f>QUARTILE(Applicants!E3:E52,1)</f>
        <v>46.25</v>
      </c>
      <c r="C3" t="s">
        <v>188</v>
      </c>
    </row>
    <row r="4" spans="1:3">
      <c r="A4" s="4">
        <v>0.5</v>
      </c>
      <c r="B4">
        <f>QUARTILE(Applicants!E3:E52,2)</f>
        <v>62</v>
      </c>
    </row>
    <row r="5" spans="1:3">
      <c r="A5" s="4">
        <v>0.75</v>
      </c>
      <c r="B5">
        <f>QUARTILE(Applicants!E3:E52,3)</f>
        <v>77.75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B2"/>
  <sheetViews>
    <sheetView workbookViewId="0">
      <selection activeCell="B2" sqref="B2"/>
    </sheetView>
  </sheetViews>
  <sheetFormatPr defaultColWidth="8.88888888888889" defaultRowHeight="14.4" outlineLevelRow="1" outlineLevelCol="1"/>
  <cols>
    <col min="1" max="1" width="9.22222222222222"/>
  </cols>
  <sheetData>
    <row r="1" spans="1:2">
      <c r="A1" s="1">
        <f ca="1">TODAY()</f>
        <v>46179</v>
      </c>
    </row>
    <row r="2" spans="1:2">
      <c r="B2">
        <f ca="1">DATEDIF(Applicants!F3,A1,"M")</f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Applicants</vt:lpstr>
      <vt:lpstr>Lookup</vt:lpstr>
      <vt:lpstr>DATA SUMMARY</vt:lpstr>
      <vt:lpstr>QUARTILE ANALYSIS</vt:lpstr>
      <vt:lpstr>PRIVATE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 Voice Tech</cp:lastModifiedBy>
  <dcterms:created xsi:type="dcterms:W3CDTF">2025-07-31T06:50:00Z</dcterms:created>
  <dcterms:modified xsi:type="dcterms:W3CDTF">2026-06-06T20:07:08Z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B5D668C40C734B68941708BA000A6AF8_12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